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io\git\CompactSCADA-Frontend-3.0\compactscada-webapp-3.0\WebRWE\CompactSCADACfg\"/>
    </mc:Choice>
  </mc:AlternateContent>
  <bookViews>
    <workbookView xWindow="-1350" yWindow="855" windowWidth="12855" windowHeight="7275" tabRatio="319" activeTab="1"/>
  </bookViews>
  <sheets>
    <sheet name="Export" sheetId="1" r:id="rId1"/>
    <sheet name="Models" sheetId="2" r:id="rId2"/>
    <sheet name="Elements" sheetId="3" r:id="rId3"/>
    <sheet name="Events" sheetId="4" r:id="rId4"/>
    <sheet name="ExpressionCalculator" sheetId="5" r:id="rId5"/>
  </sheets>
  <calcPr calcId="162913"/>
</workbook>
</file>

<file path=xl/calcChain.xml><?xml version="1.0" encoding="utf-8"?>
<calcChain xmlns="http://schemas.openxmlformats.org/spreadsheetml/2006/main">
  <c r="B36" i="4" l="1"/>
  <c r="B39" i="4"/>
  <c r="B40" i="4"/>
  <c r="B41" i="4"/>
  <c r="B42" i="4"/>
  <c r="B43" i="4"/>
  <c r="AJ2" i="4" l="1"/>
  <c r="X4" i="4" l="1"/>
  <c r="Y4" i="4"/>
  <c r="Z4" i="4"/>
  <c r="X5" i="4"/>
  <c r="Y5" i="4"/>
  <c r="Z5" i="4"/>
  <c r="X6" i="4"/>
  <c r="Y6" i="4"/>
  <c r="Z6" i="4"/>
  <c r="X7" i="4"/>
  <c r="Y7" i="4"/>
  <c r="Z7" i="4"/>
  <c r="X8" i="4"/>
  <c r="Y8" i="4"/>
  <c r="Z8" i="4"/>
  <c r="X9" i="4"/>
  <c r="Y9" i="4"/>
  <c r="Z9" i="4"/>
  <c r="X10" i="4"/>
  <c r="Y10" i="4"/>
  <c r="Z10" i="4"/>
  <c r="X11" i="4"/>
  <c r="Y11" i="4"/>
  <c r="Z11" i="4"/>
  <c r="X34" i="4"/>
  <c r="Y34" i="4"/>
  <c r="Z34" i="4"/>
  <c r="X35" i="4"/>
  <c r="Y35" i="4"/>
  <c r="Z35" i="4"/>
  <c r="AB35" i="4"/>
  <c r="AC35" i="4"/>
  <c r="AE35" i="4"/>
  <c r="X36" i="4"/>
  <c r="Y36" i="4"/>
  <c r="Z36" i="4"/>
  <c r="AB36" i="4"/>
  <c r="AC36" i="4"/>
  <c r="AE36" i="4"/>
  <c r="B38" i="4"/>
  <c r="T38" i="4" s="1"/>
  <c r="B44" i="4"/>
  <c r="B45" i="4"/>
  <c r="B46" i="4"/>
  <c r="B47" i="4"/>
  <c r="B48" i="4"/>
  <c r="B35" i="4"/>
  <c r="T35" i="4" s="1"/>
  <c r="T36" i="4"/>
  <c r="B37" i="4"/>
  <c r="T37" i="4" s="1"/>
  <c r="B30" i="4"/>
  <c r="B31" i="4"/>
  <c r="B32" i="4"/>
  <c r="T32" i="4" s="1"/>
  <c r="B33" i="4"/>
  <c r="T33" i="4" s="1"/>
  <c r="B34" i="4"/>
  <c r="T34" i="4" s="1"/>
  <c r="B22" i="4"/>
  <c r="B23" i="4"/>
  <c r="B24" i="4"/>
  <c r="B25" i="4"/>
  <c r="B26" i="4"/>
  <c r="B27" i="4"/>
  <c r="B28" i="4"/>
  <c r="B29" i="4"/>
  <c r="B12" i="4"/>
  <c r="B13" i="4"/>
  <c r="B14" i="4"/>
  <c r="B15" i="4"/>
  <c r="B16" i="4"/>
  <c r="B17" i="4"/>
  <c r="B18" i="4"/>
  <c r="B19" i="4"/>
  <c r="B20" i="4"/>
  <c r="B21" i="4"/>
  <c r="B3" i="4"/>
  <c r="B4" i="4"/>
  <c r="B5" i="4"/>
  <c r="B6" i="4"/>
  <c r="B7" i="4"/>
  <c r="B8" i="4"/>
  <c r="B9" i="4"/>
  <c r="B10" i="4"/>
  <c r="B11" i="4"/>
  <c r="B2" i="4"/>
  <c r="T2" i="4" s="1"/>
  <c r="X32" i="4"/>
  <c r="Y32" i="4"/>
  <c r="Z32" i="4"/>
  <c r="X33" i="4"/>
  <c r="Y33" i="4"/>
  <c r="Z33" i="4"/>
  <c r="T3" i="4" l="1"/>
  <c r="T4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AE30" i="4"/>
  <c r="AE31" i="4"/>
  <c r="Z12" i="4" l="1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2" i="4"/>
  <c r="P11" i="4"/>
  <c r="X2" i="4" l="1"/>
  <c r="AE12" i="4"/>
  <c r="AE13" i="4"/>
  <c r="AE14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8" i="4"/>
  <c r="AE29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Y2" i="4" l="1"/>
  <c r="Y31" i="4" l="1"/>
  <c r="X31" i="4"/>
  <c r="Y30" i="4"/>
  <c r="X30" i="4"/>
  <c r="Y29" i="4"/>
  <c r="X29" i="4"/>
  <c r="Y28" i="4"/>
  <c r="X28" i="4"/>
  <c r="Y27" i="4"/>
  <c r="X27" i="4"/>
  <c r="Y26" i="4"/>
  <c r="X26" i="4"/>
  <c r="Y25" i="4"/>
  <c r="X25" i="4"/>
  <c r="Y24" i="4"/>
  <c r="X24" i="4"/>
  <c r="Y23" i="4"/>
  <c r="X23" i="4"/>
  <c r="Y22" i="4"/>
  <c r="X22" i="4"/>
  <c r="Y21" i="4"/>
  <c r="X21" i="4"/>
  <c r="Y20" i="4"/>
  <c r="X20" i="4"/>
  <c r="Y19" i="4"/>
  <c r="X19" i="4"/>
  <c r="Y18" i="4"/>
  <c r="X18" i="4"/>
  <c r="Y17" i="4"/>
  <c r="X17" i="4"/>
  <c r="Y16" i="4"/>
  <c r="X16" i="4"/>
  <c r="Y15" i="4"/>
  <c r="X15" i="4"/>
  <c r="Y14" i="4"/>
  <c r="X14" i="4"/>
  <c r="Y13" i="4"/>
  <c r="X13" i="4"/>
  <c r="Y12" i="4"/>
  <c r="X12" i="4"/>
  <c r="H2" i="4"/>
  <c r="H4" i="4" l="1"/>
  <c r="H5" i="4"/>
  <c r="H6" i="4"/>
  <c r="H7" i="4"/>
  <c r="H3" i="4"/>
  <c r="L6" i="4"/>
  <c r="P10" i="4" l="1"/>
  <c r="P9" i="4"/>
  <c r="AI2" i="4" l="1"/>
  <c r="P8" i="4"/>
  <c r="P7" i="4"/>
  <c r="P6" i="4" l="1"/>
  <c r="P5" i="4" l="1"/>
  <c r="P4" i="4"/>
  <c r="P3" i="4"/>
  <c r="P2" i="4"/>
  <c r="L3" i="4" l="1"/>
  <c r="L4" i="4"/>
  <c r="L5" i="4"/>
  <c r="L2" i="4"/>
</calcChain>
</file>

<file path=xl/sharedStrings.xml><?xml version="1.0" encoding="utf-8"?>
<sst xmlns="http://schemas.openxmlformats.org/spreadsheetml/2006/main" count="1340" uniqueCount="235">
  <si>
    <t>BOOL</t>
  </si>
  <si>
    <t>OPC_QUALITY_GOOD</t>
  </si>
  <si>
    <t>FLOAT</t>
  </si>
  <si>
    <t>Active</t>
  </si>
  <si>
    <t>Current</t>
  </si>
  <si>
    <t>VoltageR</t>
  </si>
  <si>
    <t>VoltageS</t>
  </si>
  <si>
    <t>VoltageT</t>
  </si>
  <si>
    <t>ActivePower</t>
  </si>
  <si>
    <t>ReactivePower</t>
  </si>
  <si>
    <t>PARK</t>
  </si>
  <si>
    <t>CircuitClosed</t>
  </si>
  <si>
    <t>CCR</t>
  </si>
  <si>
    <t>CECOREI1Connection</t>
  </si>
  <si>
    <t>CECOREI2Connection</t>
  </si>
  <si>
    <t>CECOELI1Connection</t>
  </si>
  <si>
    <t>CECOELI2Connection</t>
  </si>
  <si>
    <t>OPCConnection</t>
  </si>
  <si>
    <t>IEC104Connection</t>
  </si>
  <si>
    <t>ICCPConnection</t>
  </si>
  <si>
    <t>GatewayConnection</t>
  </si>
  <si>
    <t>SetpointApplied</t>
  </si>
  <si>
    <t>WindSpeed</t>
  </si>
  <si>
    <t>Temperature</t>
  </si>
  <si>
    <t>WindDirection</t>
  </si>
  <si>
    <t>CECOELSetpointReceived</t>
  </si>
  <si>
    <t>CECORESetpointReceived</t>
  </si>
  <si>
    <t>CECOELSetpointMotive</t>
  </si>
  <si>
    <t>CECORESetpointMotive</t>
  </si>
  <si>
    <t>RemainingTime</t>
  </si>
  <si>
    <t>ActivePowerAds</t>
  </si>
  <si>
    <t>GridConnection</t>
  </si>
  <si>
    <t>WindDir</t>
  </si>
  <si>
    <t>CECOELRoleReceived</t>
  </si>
  <si>
    <t>CECORERoleReceived</t>
  </si>
  <si>
    <t>NominalPower</t>
  </si>
  <si>
    <t>RoleApplied</t>
  </si>
  <si>
    <t>MOD</t>
  </si>
  <si>
    <t>PARK_Bancal</t>
  </si>
  <si>
    <t>PARK_LosSiglos</t>
  </si>
  <si>
    <t>PARK_RioGallego</t>
  </si>
  <si>
    <t>PARK_Grisel</t>
  </si>
  <si>
    <t>PARK_AcampoArmijo</t>
  </si>
  <si>
    <t>PARK_BosqueAlto</t>
  </si>
  <si>
    <t>PARK_LosLabrados</t>
  </si>
  <si>
    <t>PARK_PlanaDeLaBalsa</t>
  </si>
  <si>
    <t>PARK_PlanaDeMaria</t>
  </si>
  <si>
    <t>PARK_PlanaDeZaragoza</t>
  </si>
  <si>
    <t>PARK_Muel</t>
  </si>
  <si>
    <t>PARK_Lanternoso</t>
  </si>
  <si>
    <t>PARK_Aldehuelas</t>
  </si>
  <si>
    <t>PARK_Urano</t>
  </si>
  <si>
    <t>PARK_Juno</t>
  </si>
  <si>
    <t>PARK_Luna</t>
  </si>
  <si>
    <t>ELEMENTOS DEL SISTEMA</t>
  </si>
  <si>
    <t>ORIGEN 
DE EVENTOS</t>
  </si>
  <si>
    <t>POTENCIA 
NOMINAL</t>
  </si>
  <si>
    <t>NU Facinas</t>
  </si>
  <si>
    <t>NU Gurrea</t>
  </si>
  <si>
    <t>NU LanzasAgudas</t>
  </si>
  <si>
    <t>NU Maria</t>
  </si>
  <si>
    <t>NU MonteTorrero</t>
  </si>
  <si>
    <t>NU Olmedilla</t>
  </si>
  <si>
    <t>NU Oncala</t>
  </si>
  <si>
    <t>NU Trevago</t>
  </si>
  <si>
    <t>PE Bancal</t>
  </si>
  <si>
    <t>PE LosSiglos</t>
  </si>
  <si>
    <t>PE RioGallego</t>
  </si>
  <si>
    <t>PE Grisel</t>
  </si>
  <si>
    <t>PE AcampoArmijo</t>
  </si>
  <si>
    <t>PE BosqueAlto</t>
  </si>
  <si>
    <t>PE LosLabrados</t>
  </si>
  <si>
    <t>PE PlanaDeLaBalsa</t>
  </si>
  <si>
    <t>PE PlanaDeMaria</t>
  </si>
  <si>
    <t>PE PlanaDeZaragoza</t>
  </si>
  <si>
    <t>PE Muel</t>
  </si>
  <si>
    <t>PE Lanternoso</t>
  </si>
  <si>
    <t>PE Aldehuelas</t>
  </si>
  <si>
    <t>PE Urano</t>
  </si>
  <si>
    <t>PE Juno</t>
  </si>
  <si>
    <t>PE Luna</t>
  </si>
  <si>
    <t>Script Origen</t>
  </si>
  <si>
    <t>ID
EVENTOS</t>
  </si>
  <si>
    <t xml:space="preserve"> </t>
  </si>
  <si>
    <t>TIPOS</t>
  </si>
  <si>
    <t>TEXTOS</t>
  </si>
  <si>
    <t>INFO</t>
  </si>
  <si>
    <t>ERROR</t>
  </si>
  <si>
    <t>ALARM</t>
  </si>
  <si>
    <t>COMM</t>
  </si>
  <si>
    <t>Script Tipos</t>
  </si>
  <si>
    <t>ID Texto</t>
  </si>
  <si>
    <t>Script Textos</t>
  </si>
  <si>
    <t>Disconnected from grid</t>
  </si>
  <si>
    <t>autoclose</t>
  </si>
  <si>
    <t>Setpoint %1 kW received from CECOEL</t>
  </si>
  <si>
    <t>Setpoint %1 kW received from CECORE</t>
  </si>
  <si>
    <t>Unknown status of grid connection</t>
  </si>
  <si>
    <t>Communication error</t>
  </si>
  <si>
    <t>CECOEL Setpoint</t>
  </si>
  <si>
    <t>CECORE Setpoint</t>
  </si>
  <si>
    <t>Role CECORE active</t>
  </si>
  <si>
    <t>Role CECOEL active</t>
  </si>
  <si>
    <t>No funciona corréctamente. El evento se vuelve a registrar cuando se cierra (cuando la condición ya no es verdadera). Además parece que también afecta a la hora del evento 5001 de CECORE</t>
  </si>
  <si>
    <t>CECOELLinkState</t>
  </si>
  <si>
    <t>CECORELinkState</t>
  </si>
  <si>
    <t>STRING</t>
  </si>
  <si>
    <t>Regulation active with motive %1 received from CECOEL</t>
  </si>
  <si>
    <t>Regulation active with motive %1 received from CECORE</t>
  </si>
  <si>
    <t>SETPOINT</t>
  </si>
  <si>
    <t>Script SubTipos</t>
  </si>
  <si>
    <t>sound1</t>
  </si>
  <si>
    <t>sound2</t>
  </si>
  <si>
    <t>sound3</t>
  </si>
  <si>
    <t>sound4</t>
  </si>
  <si>
    <t>sound5</t>
  </si>
  <si>
    <t>ID
Tipo</t>
  </si>
  <si>
    <t>HYDRO</t>
  </si>
  <si>
    <t>HYDRO_Chomba</t>
  </si>
  <si>
    <t>HYDRO_Villalgordo</t>
  </si>
  <si>
    <t>HYDRO_Cepeda</t>
  </si>
  <si>
    <t>HYDRO_LaMora</t>
  </si>
  <si>
    <t>CH VillalGordo</t>
  </si>
  <si>
    <t>CH Cepeda</t>
  </si>
  <si>
    <t>CH Chomba</t>
  </si>
  <si>
    <t>CH La Mora</t>
  </si>
  <si>
    <t>silence</t>
  </si>
  <si>
    <t>No regulation in progress</t>
  </si>
  <si>
    <t>NU Romica</t>
  </si>
  <si>
    <t>NU Sienra</t>
  </si>
  <si>
    <t>NU Lastras</t>
  </si>
  <si>
    <t>OPC_QUALITY_OUT_OF_SERVICE</t>
  </si>
  <si>
    <t>PARK_LaLoma</t>
  </si>
  <si>
    <t>SOLAR_Andasol3</t>
  </si>
  <si>
    <t>SOLAR</t>
  </si>
  <si>
    <t>Auxiliar1</t>
  </si>
  <si>
    <t>Auxiliar2</t>
  </si>
  <si>
    <t>Auxiliar3</t>
  </si>
  <si>
    <t>Auxiliar4</t>
  </si>
  <si>
    <t>Auxiliar5</t>
  </si>
  <si>
    <t>PE LaLoma</t>
  </si>
  <si>
    <t>NU S5</t>
  </si>
  <si>
    <t>REGLAS
Eventid, Name, Expression, AutoClose, TypeId, TextId, SourceId, NeedToCheckOnLoad, Reopen, SubType</t>
  </si>
  <si>
    <t>Need to Check Onload</t>
  </si>
  <si>
    <t>Active CECORE
5000</t>
  </si>
  <si>
    <t>Comm. Active
4000</t>
  </si>
  <si>
    <t>Grid 
Disconnected = 1
3000</t>
  </si>
  <si>
    <t>Grid 
Status Unknown = 0
2000</t>
  </si>
  <si>
    <t>CECOEL Motive == 0
8000</t>
  </si>
  <si>
    <t>CECORE Motive &gt; 0
7000</t>
  </si>
  <si>
    <t>CECOEL Motive &gt; 0
6000</t>
  </si>
  <si>
    <t>Active CECOEL
9000</t>
  </si>
  <si>
    <t>NODE_Facinas</t>
  </si>
  <si>
    <t>NODE_Gurrea</t>
  </si>
  <si>
    <t>NODE_LanzasAgudas</t>
  </si>
  <si>
    <t>NODE_Maria</t>
  </si>
  <si>
    <t>NODE_MonteTorrero</t>
  </si>
  <si>
    <t>NODE_Olmedilla</t>
  </si>
  <si>
    <t>NODE_Oncala</t>
  </si>
  <si>
    <t>NODE_Trevago</t>
  </si>
  <si>
    <t>NODE_Lastras</t>
  </si>
  <si>
    <t>NODE_Sienra</t>
  </si>
  <si>
    <t>NODE_Romica</t>
  </si>
  <si>
    <t>NODE_S5</t>
  </si>
  <si>
    <t>NODE</t>
  </si>
  <si>
    <t>BootTime</t>
  </si>
  <si>
    <t>Status</t>
  </si>
  <si>
    <t>StatusCode</t>
  </si>
  <si>
    <t>EnabledRequest</t>
  </si>
  <si>
    <t>Enabled</t>
  </si>
  <si>
    <t>Uptime</t>
  </si>
  <si>
    <t>Starting</t>
  </si>
  <si>
    <t>MOD.OPCClient</t>
  </si>
  <si>
    <t>MOD.ModbusMaster</t>
  </si>
  <si>
    <t>MOD.RoleManager</t>
  </si>
  <si>
    <t>MOD.WebServer</t>
  </si>
  <si>
    <t>MOD.ExpressionCalculator</t>
  </si>
  <si>
    <t>MOD.EventChecker</t>
  </si>
  <si>
    <t>MOD.OPCClientPlants</t>
  </si>
  <si>
    <t>ActiveNotAckEvents</t>
  </si>
  <si>
    <t>EventAcknowledgeRequest</t>
  </si>
  <si>
    <t>NODE_Escucha</t>
  </si>
  <si>
    <t>NU Escucha</t>
  </si>
  <si>
    <t>CommState</t>
  </si>
  <si>
    <t>LastDataReading</t>
  </si>
  <si>
    <t>MOD.DataStorageManager</t>
  </si>
  <si>
    <t>CosPhi</t>
  </si>
  <si>
    <t>PARK_LaLoma.Sinovel.001</t>
  </si>
  <si>
    <t>PARK_LaLoma.Sinovel</t>
  </si>
  <si>
    <t>PARK_LaLoma.Sinovel.002</t>
  </si>
  <si>
    <t>PARK_LaLoma.Sinovel.003</t>
  </si>
  <si>
    <t>PARK_LaLoma.Sinovel.004</t>
  </si>
  <si>
    <t>PARK_LaLoma.Sinovel.005</t>
  </si>
  <si>
    <t>PARK_LaLoma.Sinovel.006</t>
  </si>
  <si>
    <t>PARK_LaLoma.Sinovel.007</t>
  </si>
  <si>
    <t>PARK_LaLoma.Sinovel.008</t>
  </si>
  <si>
    <t>PARK_LaLoma.Sinovel.009</t>
  </si>
  <si>
    <t>PARK_LaLoma.Sinovel.010</t>
  </si>
  <si>
    <t>PARK_LaLoma.Sinovel.011</t>
  </si>
  <si>
    <t>PARK_LaLoma.Sinovel.012</t>
  </si>
  <si>
    <t>CS Andasol3</t>
  </si>
  <si>
    <t>SetpointRequest</t>
  </si>
  <si>
    <t>ProduciblePower</t>
  </si>
  <si>
    <t>H1Energy</t>
  </si>
  <si>
    <t>H2Energy</t>
  </si>
  <si>
    <t>H3Energy</t>
  </si>
  <si>
    <t>H4Energy</t>
  </si>
  <si>
    <t>Energy</t>
  </si>
  <si>
    <t>WeatherAlertMsg</t>
  </si>
  <si>
    <t>WeatherAlertInfo</t>
  </si>
  <si>
    <t>EnergyFuture</t>
  </si>
  <si>
    <t>EstimatedEnergy</t>
  </si>
  <si>
    <t>LimitationEnergy</t>
  </si>
  <si>
    <t>LimitationEnergyInfo</t>
  </si>
  <si>
    <t>ASAssignStatus</t>
  </si>
  <si>
    <t>ASLimitStatus</t>
  </si>
  <si>
    <t>DesiredEnergy</t>
  </si>
  <si>
    <t>DesiredEnergyInfo</t>
  </si>
  <si>
    <t>ASEnergyDifference</t>
  </si>
  <si>
    <t>ASSPIncrement</t>
  </si>
  <si>
    <t>ASSPRecommended</t>
  </si>
  <si>
    <t>UPROG</t>
  </si>
  <si>
    <t>UPROG_EAEREG</t>
  </si>
  <si>
    <t>UPROG_EDANSA</t>
  </si>
  <si>
    <t>SP Refence</t>
  </si>
  <si>
    <t>SetpointReference</t>
  </si>
  <si>
    <t>MOD.AssetCalcs</t>
  </si>
  <si>
    <t>MOD.ASFtpDownloader</t>
  </si>
  <si>
    <t>MOD.OPCClientICCP2</t>
  </si>
  <si>
    <t>MOD.OPCClientICCP1</t>
  </si>
  <si>
    <t>MOD.OPCClientOPC1</t>
  </si>
  <si>
    <t>MOD.OPCClientOPC2</t>
  </si>
  <si>
    <t>MOD.WeatherAlert</t>
  </si>
  <si>
    <t>AncillaryEnergy</t>
  </si>
  <si>
    <t>AncillaryEnergyInfo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</si>
</sst>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61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/>
    <xf numFmtId="0" fontId="0" fillId="0" borderId="10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6" fillId="0" borderId="10" xfId="0" applyFont="1" applyFill="1" applyBorder="1" applyAlignment="1">
      <alignment horizontal="center" vertical="center"/>
    </xf>
    <xf numFmtId="0" fontId="19" fillId="2" borderId="0" xfId="6" applyFont="1" applyAlignment="1">
      <alignment horizontal="center" vertical="center"/>
    </xf>
    <xf numFmtId="0" fontId="6" fillId="2" borderId="0" xfId="6" applyAlignment="1">
      <alignment horizontal="center" vertical="center"/>
    </xf>
    <xf numFmtId="0" fontId="19" fillId="2" borderId="0" xfId="6" applyFont="1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horizontal="left"/>
    </xf>
    <xf numFmtId="0" fontId="7" fillId="3" borderId="0" xfId="7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0" xfId="0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0" xfId="0" applyBorder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38100</xdr:rowOff>
        </xdr:from>
        <xdr:to>
          <xdr:col>9</xdr:col>
          <xdr:colOff>428625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Configuration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baseColWidth="10" defaultColWidth="9.140625" defaultRowHeight="15" x14ac:dyDescent="0.25"/>
  <cols>
    <col min="1" max="1" width="45.7109375" bestFit="1" customWidth="1"/>
    <col min="2" max="2" width="7.42578125" bestFit="1" customWidth="1"/>
    <col min="3" max="3" width="29.85546875" bestFit="1" customWidth="1"/>
    <col min="4" max="4" width="11.85546875" bestFit="1" customWidth="1"/>
  </cols>
  <sheetData/>
  <dataConsolidate/>
  <pageMargins left="0.7" right="0.7" top="0.75" bottom="0.75" header="0.3" footer="0.3"/>
  <pageSetup paperSize="9" orientation="landscape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element_Click">
                <anchor moveWithCells="1" sizeWithCells="1">
                  <from>
                    <xdr:col>7</xdr:col>
                    <xdr:colOff>9525</xdr:colOff>
                    <xdr:row>4</xdr:row>
                    <xdr:rowOff>38100</xdr:rowOff>
                  </from>
                  <to>
                    <xdr:col>9</xdr:col>
                    <xdr:colOff>428625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14"/>
  <sheetViews>
    <sheetView tabSelected="1" topLeftCell="A193" workbookViewId="0">
      <selection activeCell="A218" sqref="A218"/>
    </sheetView>
  </sheetViews>
  <sheetFormatPr baseColWidth="10" defaultColWidth="9.140625" defaultRowHeight="15" x14ac:dyDescent="0.25"/>
  <cols>
    <col min="1" max="1" width="30.140625" customWidth="1"/>
    <col min="2" max="2" width="41.28515625" customWidth="1"/>
    <col min="3" max="3" width="10.28515625" customWidth="1"/>
    <col min="4" max="4" width="32.28515625" customWidth="1"/>
    <col min="5" max="5" width="13.7109375" style="1" customWidth="1"/>
  </cols>
  <sheetData>
    <row r="1" spans="1:5" x14ac:dyDescent="0.25">
      <c r="A1" t="s">
        <v>12</v>
      </c>
      <c r="B1" t="s">
        <v>3</v>
      </c>
      <c r="C1" t="s">
        <v>0</v>
      </c>
      <c r="D1" t="s">
        <v>1</v>
      </c>
      <c r="E1" s="1" t="b">
        <v>1</v>
      </c>
    </row>
    <row r="2" spans="1:5" x14ac:dyDescent="0.25">
      <c r="A2" t="s">
        <v>12</v>
      </c>
      <c r="B2" t="s">
        <v>11</v>
      </c>
      <c r="C2" t="s">
        <v>0</v>
      </c>
      <c r="D2" t="s">
        <v>1</v>
      </c>
      <c r="E2" s="14" t="b">
        <v>1</v>
      </c>
    </row>
    <row r="3" spans="1:5" x14ac:dyDescent="0.25">
      <c r="A3" t="s">
        <v>12</v>
      </c>
      <c r="B3" t="s">
        <v>8</v>
      </c>
      <c r="C3" t="s">
        <v>2</v>
      </c>
      <c r="D3" t="s">
        <v>1</v>
      </c>
    </row>
    <row r="4" spans="1:5" x14ac:dyDescent="0.25">
      <c r="A4" t="s">
        <v>12</v>
      </c>
      <c r="B4" t="s">
        <v>9</v>
      </c>
      <c r="C4" t="s">
        <v>2</v>
      </c>
      <c r="D4" t="s">
        <v>1</v>
      </c>
    </row>
    <row r="5" spans="1:5" x14ac:dyDescent="0.25">
      <c r="A5" t="s">
        <v>12</v>
      </c>
      <c r="B5" t="s">
        <v>4</v>
      </c>
      <c r="C5" t="s">
        <v>2</v>
      </c>
      <c r="D5" t="s">
        <v>1</v>
      </c>
    </row>
    <row r="6" spans="1:5" x14ac:dyDescent="0.25">
      <c r="A6" t="s">
        <v>12</v>
      </c>
      <c r="B6" t="s">
        <v>5</v>
      </c>
      <c r="C6" t="s">
        <v>2</v>
      </c>
      <c r="D6" t="s">
        <v>1</v>
      </c>
    </row>
    <row r="7" spans="1:5" x14ac:dyDescent="0.25">
      <c r="A7" t="s">
        <v>12</v>
      </c>
      <c r="B7" t="s">
        <v>6</v>
      </c>
      <c r="C7" t="s">
        <v>2</v>
      </c>
      <c r="D7" t="s">
        <v>1</v>
      </c>
    </row>
    <row r="8" spans="1:5" x14ac:dyDescent="0.25">
      <c r="A8" t="s">
        <v>12</v>
      </c>
      <c r="B8" t="s">
        <v>7</v>
      </c>
      <c r="C8" t="s">
        <v>2</v>
      </c>
      <c r="D8" t="s">
        <v>1</v>
      </c>
    </row>
    <row r="9" spans="1:5" x14ac:dyDescent="0.25">
      <c r="A9" t="s">
        <v>12</v>
      </c>
      <c r="B9" t="s">
        <v>21</v>
      </c>
      <c r="C9" t="s">
        <v>2</v>
      </c>
      <c r="D9" t="s">
        <v>1</v>
      </c>
    </row>
    <row r="10" spans="1:5" x14ac:dyDescent="0.25">
      <c r="A10" t="s">
        <v>12</v>
      </c>
      <c r="B10" t="s">
        <v>36</v>
      </c>
      <c r="C10" t="s">
        <v>2</v>
      </c>
      <c r="D10" t="s">
        <v>1</v>
      </c>
    </row>
    <row r="11" spans="1:5" x14ac:dyDescent="0.25">
      <c r="A11" t="s">
        <v>12</v>
      </c>
      <c r="B11" t="s">
        <v>25</v>
      </c>
      <c r="C11" t="s">
        <v>2</v>
      </c>
      <c r="D11" t="s">
        <v>1</v>
      </c>
    </row>
    <row r="12" spans="1:5" x14ac:dyDescent="0.25">
      <c r="A12" t="s">
        <v>12</v>
      </c>
      <c r="B12" t="s">
        <v>27</v>
      </c>
      <c r="C12" t="s">
        <v>2</v>
      </c>
      <c r="D12" t="s">
        <v>1</v>
      </c>
    </row>
    <row r="13" spans="1:5" x14ac:dyDescent="0.25">
      <c r="A13" t="s">
        <v>12</v>
      </c>
      <c r="B13" t="s">
        <v>33</v>
      </c>
      <c r="C13" t="s">
        <v>2</v>
      </c>
      <c r="D13" t="s">
        <v>1</v>
      </c>
    </row>
    <row r="14" spans="1:5" x14ac:dyDescent="0.25">
      <c r="A14" t="s">
        <v>12</v>
      </c>
      <c r="B14" t="s">
        <v>26</v>
      </c>
      <c r="C14" t="s">
        <v>2</v>
      </c>
      <c r="D14" t="s">
        <v>1</v>
      </c>
    </row>
    <row r="15" spans="1:5" x14ac:dyDescent="0.25">
      <c r="A15" t="s">
        <v>12</v>
      </c>
      <c r="B15" t="s">
        <v>28</v>
      </c>
      <c r="C15" t="s">
        <v>2</v>
      </c>
      <c r="D15" t="s">
        <v>1</v>
      </c>
    </row>
    <row r="16" spans="1:5" x14ac:dyDescent="0.25">
      <c r="A16" t="s">
        <v>12</v>
      </c>
      <c r="B16" t="s">
        <v>34</v>
      </c>
      <c r="C16" t="s">
        <v>2</v>
      </c>
      <c r="D16" t="s">
        <v>1</v>
      </c>
    </row>
    <row r="17" spans="1:5" x14ac:dyDescent="0.25">
      <c r="A17" t="s">
        <v>12</v>
      </c>
      <c r="B17" t="s">
        <v>17</v>
      </c>
      <c r="C17" t="s">
        <v>0</v>
      </c>
      <c r="D17" t="s">
        <v>1</v>
      </c>
      <c r="E17" s="14" t="b">
        <v>1</v>
      </c>
    </row>
    <row r="18" spans="1:5" x14ac:dyDescent="0.25">
      <c r="A18" t="s">
        <v>12</v>
      </c>
      <c r="B18" t="s">
        <v>18</v>
      </c>
      <c r="C18" t="s">
        <v>0</v>
      </c>
      <c r="D18" t="s">
        <v>1</v>
      </c>
      <c r="E18" s="14" t="b">
        <v>1</v>
      </c>
    </row>
    <row r="19" spans="1:5" x14ac:dyDescent="0.25">
      <c r="A19" t="s">
        <v>12</v>
      </c>
      <c r="B19" t="s">
        <v>19</v>
      </c>
      <c r="C19" t="s">
        <v>0</v>
      </c>
      <c r="D19" t="s">
        <v>1</v>
      </c>
      <c r="E19" s="14" t="b">
        <v>1</v>
      </c>
    </row>
    <row r="20" spans="1:5" x14ac:dyDescent="0.25">
      <c r="A20" t="s">
        <v>12</v>
      </c>
      <c r="B20" t="s">
        <v>20</v>
      </c>
      <c r="C20" t="s">
        <v>0</v>
      </c>
      <c r="D20" t="s">
        <v>1</v>
      </c>
      <c r="E20" s="14" t="b">
        <v>1</v>
      </c>
    </row>
    <row r="21" spans="1:5" x14ac:dyDescent="0.25">
      <c r="A21" t="s">
        <v>12</v>
      </c>
      <c r="B21" t="s">
        <v>15</v>
      </c>
      <c r="C21" t="s">
        <v>0</v>
      </c>
      <c r="D21" t="s">
        <v>1</v>
      </c>
      <c r="E21" s="14" t="b">
        <v>1</v>
      </c>
    </row>
    <row r="22" spans="1:5" x14ac:dyDescent="0.25">
      <c r="A22" t="s">
        <v>12</v>
      </c>
      <c r="B22" t="s">
        <v>16</v>
      </c>
      <c r="C22" t="s">
        <v>0</v>
      </c>
      <c r="D22" t="s">
        <v>1</v>
      </c>
      <c r="E22" s="14" t="b">
        <v>1</v>
      </c>
    </row>
    <row r="23" spans="1:5" x14ac:dyDescent="0.25">
      <c r="A23" t="s">
        <v>12</v>
      </c>
      <c r="B23" t="s">
        <v>13</v>
      </c>
      <c r="C23" t="s">
        <v>0</v>
      </c>
      <c r="D23" t="s">
        <v>1</v>
      </c>
      <c r="E23" s="14" t="b">
        <v>1</v>
      </c>
    </row>
    <row r="24" spans="1:5" x14ac:dyDescent="0.25">
      <c r="A24" t="s">
        <v>12</v>
      </c>
      <c r="B24" t="s">
        <v>14</v>
      </c>
      <c r="C24" t="s">
        <v>0</v>
      </c>
      <c r="D24" t="s">
        <v>1</v>
      </c>
      <c r="E24" s="14" t="b">
        <v>1</v>
      </c>
    </row>
    <row r="25" spans="1:5" x14ac:dyDescent="0.25">
      <c r="A25" t="s">
        <v>12</v>
      </c>
      <c r="B25" t="s">
        <v>29</v>
      </c>
      <c r="C25" t="s">
        <v>2</v>
      </c>
      <c r="D25" t="s">
        <v>1</v>
      </c>
    </row>
    <row r="26" spans="1:5" x14ac:dyDescent="0.25">
      <c r="A26" t="s">
        <v>12</v>
      </c>
      <c r="B26" t="s">
        <v>30</v>
      </c>
      <c r="C26" t="s">
        <v>2</v>
      </c>
      <c r="D26" t="s">
        <v>1</v>
      </c>
    </row>
    <row r="27" spans="1:5" x14ac:dyDescent="0.25">
      <c r="A27" t="s">
        <v>12</v>
      </c>
      <c r="B27" t="s">
        <v>31</v>
      </c>
      <c r="C27" t="s">
        <v>2</v>
      </c>
      <c r="D27" t="s">
        <v>1</v>
      </c>
      <c r="E27" s="1">
        <v>0</v>
      </c>
    </row>
    <row r="28" spans="1:5" x14ac:dyDescent="0.25">
      <c r="A28" t="s">
        <v>12</v>
      </c>
      <c r="B28" t="s">
        <v>32</v>
      </c>
      <c r="C28" t="s">
        <v>2</v>
      </c>
      <c r="D28" t="s">
        <v>1</v>
      </c>
    </row>
    <row r="29" spans="1:5" x14ac:dyDescent="0.25">
      <c r="A29" t="s">
        <v>12</v>
      </c>
      <c r="B29" t="s">
        <v>22</v>
      </c>
      <c r="C29" t="s">
        <v>2</v>
      </c>
      <c r="D29" t="s">
        <v>1</v>
      </c>
    </row>
    <row r="30" spans="1:5" x14ac:dyDescent="0.25">
      <c r="A30" t="s">
        <v>12</v>
      </c>
      <c r="B30" t="s">
        <v>23</v>
      </c>
      <c r="C30" t="s">
        <v>2</v>
      </c>
      <c r="D30" t="s">
        <v>1</v>
      </c>
    </row>
    <row r="31" spans="1:5" x14ac:dyDescent="0.25">
      <c r="A31" t="s">
        <v>12</v>
      </c>
      <c r="B31" t="s">
        <v>104</v>
      </c>
      <c r="C31" t="s">
        <v>106</v>
      </c>
      <c r="D31" t="s">
        <v>1</v>
      </c>
      <c r="E31" s="1" t="s">
        <v>3</v>
      </c>
    </row>
    <row r="32" spans="1:5" x14ac:dyDescent="0.25">
      <c r="A32" t="s">
        <v>12</v>
      </c>
      <c r="B32" t="s">
        <v>105</v>
      </c>
      <c r="C32" t="s">
        <v>106</v>
      </c>
      <c r="D32" t="s">
        <v>1</v>
      </c>
      <c r="E32" s="14" t="s">
        <v>3</v>
      </c>
    </row>
    <row r="33" spans="1:5" x14ac:dyDescent="0.25">
      <c r="A33" t="s">
        <v>164</v>
      </c>
      <c r="B33" t="s">
        <v>3</v>
      </c>
      <c r="C33" t="s">
        <v>0</v>
      </c>
      <c r="D33" t="s">
        <v>131</v>
      </c>
      <c r="E33" s="1" t="b">
        <v>1</v>
      </c>
    </row>
    <row r="34" spans="1:5" x14ac:dyDescent="0.25">
      <c r="A34" t="s">
        <v>164</v>
      </c>
      <c r="B34" t="s">
        <v>8</v>
      </c>
      <c r="C34" t="s">
        <v>2</v>
      </c>
      <c r="D34" t="s">
        <v>131</v>
      </c>
    </row>
    <row r="35" spans="1:5" x14ac:dyDescent="0.25">
      <c r="A35" t="s">
        <v>164</v>
      </c>
      <c r="B35" t="s">
        <v>9</v>
      </c>
      <c r="C35" t="s">
        <v>2</v>
      </c>
      <c r="D35" t="s">
        <v>131</v>
      </c>
    </row>
    <row r="36" spans="1:5" x14ac:dyDescent="0.25">
      <c r="A36" t="s">
        <v>164</v>
      </c>
      <c r="B36" t="s">
        <v>4</v>
      </c>
      <c r="C36" t="s">
        <v>2</v>
      </c>
      <c r="D36" t="s">
        <v>131</v>
      </c>
    </row>
    <row r="37" spans="1:5" x14ac:dyDescent="0.25">
      <c r="A37" t="s">
        <v>164</v>
      </c>
      <c r="B37" t="s">
        <v>5</v>
      </c>
      <c r="C37" t="s">
        <v>2</v>
      </c>
      <c r="D37" t="s">
        <v>131</v>
      </c>
    </row>
    <row r="38" spans="1:5" x14ac:dyDescent="0.25">
      <c r="A38" t="s">
        <v>164</v>
      </c>
      <c r="B38" t="s">
        <v>6</v>
      </c>
      <c r="C38" t="s">
        <v>2</v>
      </c>
      <c r="D38" t="s">
        <v>131</v>
      </c>
    </row>
    <row r="39" spans="1:5" x14ac:dyDescent="0.25">
      <c r="A39" t="s">
        <v>164</v>
      </c>
      <c r="B39" t="s">
        <v>7</v>
      </c>
      <c r="C39" t="s">
        <v>2</v>
      </c>
      <c r="D39" t="s">
        <v>131</v>
      </c>
    </row>
    <row r="40" spans="1:5" x14ac:dyDescent="0.25">
      <c r="A40" t="s">
        <v>164</v>
      </c>
      <c r="B40" t="s">
        <v>21</v>
      </c>
      <c r="C40" t="s">
        <v>2</v>
      </c>
      <c r="D40" t="s">
        <v>131</v>
      </c>
    </row>
    <row r="41" spans="1:5" x14ac:dyDescent="0.25">
      <c r="A41" t="s">
        <v>164</v>
      </c>
      <c r="B41" t="s">
        <v>25</v>
      </c>
      <c r="C41" t="s">
        <v>2</v>
      </c>
      <c r="D41" t="s">
        <v>131</v>
      </c>
    </row>
    <row r="42" spans="1:5" x14ac:dyDescent="0.25">
      <c r="A42" t="s">
        <v>164</v>
      </c>
      <c r="B42" t="s">
        <v>27</v>
      </c>
      <c r="C42" t="s">
        <v>2</v>
      </c>
      <c r="D42" t="s">
        <v>131</v>
      </c>
    </row>
    <row r="43" spans="1:5" x14ac:dyDescent="0.25">
      <c r="A43" t="s">
        <v>164</v>
      </c>
      <c r="B43" t="s">
        <v>26</v>
      </c>
      <c r="C43" t="s">
        <v>2</v>
      </c>
      <c r="D43" t="s">
        <v>131</v>
      </c>
    </row>
    <row r="44" spans="1:5" x14ac:dyDescent="0.25">
      <c r="A44" t="s">
        <v>164</v>
      </c>
      <c r="B44" t="s">
        <v>28</v>
      </c>
      <c r="C44" t="s">
        <v>2</v>
      </c>
      <c r="D44" t="s">
        <v>131</v>
      </c>
    </row>
    <row r="45" spans="1:5" x14ac:dyDescent="0.25">
      <c r="A45" t="s">
        <v>164</v>
      </c>
      <c r="B45" t="s">
        <v>34</v>
      </c>
      <c r="C45" t="s">
        <v>2</v>
      </c>
      <c r="D45" t="s">
        <v>131</v>
      </c>
    </row>
    <row r="46" spans="1:5" x14ac:dyDescent="0.25">
      <c r="A46" t="s">
        <v>164</v>
      </c>
      <c r="B46" t="s">
        <v>29</v>
      </c>
      <c r="C46" t="s">
        <v>2</v>
      </c>
      <c r="D46" t="s">
        <v>131</v>
      </c>
    </row>
    <row r="47" spans="1:5" x14ac:dyDescent="0.25">
      <c r="A47" t="s">
        <v>164</v>
      </c>
      <c r="B47" t="s">
        <v>30</v>
      </c>
      <c r="C47" t="s">
        <v>2</v>
      </c>
      <c r="D47" t="s">
        <v>131</v>
      </c>
    </row>
    <row r="48" spans="1:5" x14ac:dyDescent="0.25">
      <c r="A48" t="s">
        <v>164</v>
      </c>
      <c r="B48" t="s">
        <v>31</v>
      </c>
      <c r="C48" t="s">
        <v>2</v>
      </c>
      <c r="D48" t="s">
        <v>131</v>
      </c>
      <c r="E48" s="1">
        <v>2</v>
      </c>
    </row>
    <row r="49" spans="1:5" x14ac:dyDescent="0.25">
      <c r="A49" t="s">
        <v>164</v>
      </c>
      <c r="B49" t="s">
        <v>24</v>
      </c>
      <c r="C49" t="s">
        <v>2</v>
      </c>
      <c r="D49" t="s">
        <v>131</v>
      </c>
    </row>
    <row r="50" spans="1:5" x14ac:dyDescent="0.25">
      <c r="A50" t="s">
        <v>164</v>
      </c>
      <c r="B50" t="s">
        <v>22</v>
      </c>
      <c r="C50" t="s">
        <v>2</v>
      </c>
      <c r="D50" t="s">
        <v>131</v>
      </c>
    </row>
    <row r="51" spans="1:5" x14ac:dyDescent="0.25">
      <c r="A51" t="s">
        <v>164</v>
      </c>
      <c r="B51" t="s">
        <v>23</v>
      </c>
      <c r="C51" t="s">
        <v>2</v>
      </c>
      <c r="D51" t="s">
        <v>131</v>
      </c>
    </row>
    <row r="52" spans="1:5" x14ac:dyDescent="0.25">
      <c r="A52" t="s">
        <v>164</v>
      </c>
      <c r="B52" t="s">
        <v>11</v>
      </c>
      <c r="C52" t="s">
        <v>0</v>
      </c>
      <c r="D52" t="s">
        <v>131</v>
      </c>
      <c r="E52" s="15" t="b">
        <v>1</v>
      </c>
    </row>
    <row r="53" spans="1:5" x14ac:dyDescent="0.25">
      <c r="A53" t="s">
        <v>10</v>
      </c>
      <c r="B53" t="s">
        <v>3</v>
      </c>
      <c r="C53" t="s">
        <v>0</v>
      </c>
      <c r="D53" t="s">
        <v>131</v>
      </c>
      <c r="E53" s="1" t="b">
        <v>1</v>
      </c>
    </row>
    <row r="54" spans="1:5" x14ac:dyDescent="0.25">
      <c r="A54" t="s">
        <v>10</v>
      </c>
      <c r="B54" t="s">
        <v>35</v>
      </c>
      <c r="C54" t="s">
        <v>2</v>
      </c>
      <c r="D54" t="s">
        <v>1</v>
      </c>
    </row>
    <row r="55" spans="1:5" x14ac:dyDescent="0.25">
      <c r="A55" t="s">
        <v>10</v>
      </c>
      <c r="B55" t="s">
        <v>8</v>
      </c>
      <c r="C55" t="s">
        <v>2</v>
      </c>
      <c r="D55" t="s">
        <v>131</v>
      </c>
    </row>
    <row r="56" spans="1:5" x14ac:dyDescent="0.25">
      <c r="A56" t="s">
        <v>10</v>
      </c>
      <c r="B56" t="s">
        <v>9</v>
      </c>
      <c r="C56" t="s">
        <v>2</v>
      </c>
      <c r="D56" t="s">
        <v>131</v>
      </c>
    </row>
    <row r="57" spans="1:5" x14ac:dyDescent="0.25">
      <c r="A57" t="s">
        <v>10</v>
      </c>
      <c r="B57" t="s">
        <v>4</v>
      </c>
      <c r="C57" t="s">
        <v>2</v>
      </c>
      <c r="D57" t="s">
        <v>131</v>
      </c>
    </row>
    <row r="58" spans="1:5" x14ac:dyDescent="0.25">
      <c r="A58" t="s">
        <v>10</v>
      </c>
      <c r="B58" t="s">
        <v>5</v>
      </c>
      <c r="C58" t="s">
        <v>2</v>
      </c>
      <c r="D58" t="s">
        <v>131</v>
      </c>
    </row>
    <row r="59" spans="1:5" x14ac:dyDescent="0.25">
      <c r="A59" t="s">
        <v>10</v>
      </c>
      <c r="B59" t="s">
        <v>6</v>
      </c>
      <c r="C59" t="s">
        <v>2</v>
      </c>
      <c r="D59" t="s">
        <v>131</v>
      </c>
    </row>
    <row r="60" spans="1:5" x14ac:dyDescent="0.25">
      <c r="A60" t="s">
        <v>10</v>
      </c>
      <c r="B60" t="s">
        <v>7</v>
      </c>
      <c r="C60" t="s">
        <v>2</v>
      </c>
      <c r="D60" t="s">
        <v>131</v>
      </c>
    </row>
    <row r="61" spans="1:5" x14ac:dyDescent="0.25">
      <c r="A61" t="s">
        <v>10</v>
      </c>
      <c r="B61" t="s">
        <v>22</v>
      </c>
      <c r="C61" t="s">
        <v>2</v>
      </c>
      <c r="D61" t="s">
        <v>131</v>
      </c>
    </row>
    <row r="62" spans="1:5" x14ac:dyDescent="0.25">
      <c r="A62" t="s">
        <v>10</v>
      </c>
      <c r="B62" t="s">
        <v>24</v>
      </c>
      <c r="C62" t="s">
        <v>2</v>
      </c>
      <c r="D62" t="s">
        <v>131</v>
      </c>
    </row>
    <row r="63" spans="1:5" x14ac:dyDescent="0.25">
      <c r="A63" t="s">
        <v>10</v>
      </c>
      <c r="B63" t="s">
        <v>23</v>
      </c>
      <c r="C63" t="s">
        <v>2</v>
      </c>
      <c r="D63" t="s">
        <v>131</v>
      </c>
    </row>
    <row r="64" spans="1:5" x14ac:dyDescent="0.25">
      <c r="A64" t="s">
        <v>10</v>
      </c>
      <c r="B64" t="s">
        <v>21</v>
      </c>
      <c r="C64" t="s">
        <v>2</v>
      </c>
      <c r="D64" t="s">
        <v>131</v>
      </c>
    </row>
    <row r="65" spans="1:5" x14ac:dyDescent="0.25">
      <c r="A65" t="s">
        <v>10</v>
      </c>
      <c r="B65" t="s">
        <v>201</v>
      </c>
      <c r="C65" t="s">
        <v>2</v>
      </c>
      <c r="D65" t="s">
        <v>131</v>
      </c>
      <c r="E65" s="19"/>
    </row>
    <row r="66" spans="1:5" x14ac:dyDescent="0.25">
      <c r="A66" t="s">
        <v>10</v>
      </c>
      <c r="B66" t="s">
        <v>25</v>
      </c>
      <c r="C66" t="s">
        <v>2</v>
      </c>
      <c r="D66" t="s">
        <v>131</v>
      </c>
    </row>
    <row r="67" spans="1:5" x14ac:dyDescent="0.25">
      <c r="A67" t="s">
        <v>10</v>
      </c>
      <c r="B67" t="s">
        <v>27</v>
      </c>
      <c r="C67" t="s">
        <v>2</v>
      </c>
      <c r="D67" t="s">
        <v>131</v>
      </c>
    </row>
    <row r="68" spans="1:5" x14ac:dyDescent="0.25">
      <c r="A68" t="s">
        <v>10</v>
      </c>
      <c r="B68" t="s">
        <v>26</v>
      </c>
      <c r="C68" t="s">
        <v>2</v>
      </c>
      <c r="D68" t="s">
        <v>131</v>
      </c>
    </row>
    <row r="69" spans="1:5" x14ac:dyDescent="0.25">
      <c r="A69" t="s">
        <v>10</v>
      </c>
      <c r="B69" t="s">
        <v>28</v>
      </c>
      <c r="C69" t="s">
        <v>2</v>
      </c>
      <c r="D69" t="s">
        <v>131</v>
      </c>
    </row>
    <row r="70" spans="1:5" x14ac:dyDescent="0.25">
      <c r="A70" t="s">
        <v>10</v>
      </c>
      <c r="B70" t="s">
        <v>34</v>
      </c>
      <c r="C70" t="s">
        <v>2</v>
      </c>
      <c r="D70" t="s">
        <v>131</v>
      </c>
    </row>
    <row r="71" spans="1:5" x14ac:dyDescent="0.25">
      <c r="A71" t="s">
        <v>10</v>
      </c>
      <c r="B71" t="s">
        <v>202</v>
      </c>
      <c r="C71" t="s">
        <v>2</v>
      </c>
      <c r="D71" t="s">
        <v>131</v>
      </c>
      <c r="E71" s="19"/>
    </row>
    <row r="72" spans="1:5" x14ac:dyDescent="0.25">
      <c r="A72" t="s">
        <v>10</v>
      </c>
      <c r="B72" t="s">
        <v>203</v>
      </c>
      <c r="C72" t="s">
        <v>2</v>
      </c>
      <c r="D72" t="s">
        <v>131</v>
      </c>
      <c r="E72" s="19"/>
    </row>
    <row r="73" spans="1:5" x14ac:dyDescent="0.25">
      <c r="A73" t="s">
        <v>10</v>
      </c>
      <c r="B73" t="s">
        <v>204</v>
      </c>
      <c r="C73" t="s">
        <v>2</v>
      </c>
      <c r="D73" t="s">
        <v>131</v>
      </c>
      <c r="E73" s="19"/>
    </row>
    <row r="74" spans="1:5" x14ac:dyDescent="0.25">
      <c r="A74" t="s">
        <v>10</v>
      </c>
      <c r="B74" t="s">
        <v>205</v>
      </c>
      <c r="C74" t="s">
        <v>2</v>
      </c>
      <c r="D74" t="s">
        <v>131</v>
      </c>
      <c r="E74" s="19"/>
    </row>
    <row r="75" spans="1:5" x14ac:dyDescent="0.25">
      <c r="A75" t="s">
        <v>10</v>
      </c>
      <c r="B75" t="s">
        <v>206</v>
      </c>
      <c r="C75" t="s">
        <v>2</v>
      </c>
      <c r="D75" t="s">
        <v>131</v>
      </c>
      <c r="E75" s="19"/>
    </row>
    <row r="76" spans="1:5" x14ac:dyDescent="0.25">
      <c r="A76" t="s">
        <v>10</v>
      </c>
      <c r="B76" t="s">
        <v>29</v>
      </c>
      <c r="C76" t="s">
        <v>2</v>
      </c>
      <c r="D76" t="s">
        <v>131</v>
      </c>
    </row>
    <row r="77" spans="1:5" x14ac:dyDescent="0.25">
      <c r="A77" t="s">
        <v>10</v>
      </c>
      <c r="B77" t="s">
        <v>30</v>
      </c>
      <c r="C77" t="s">
        <v>2</v>
      </c>
      <c r="D77" t="s">
        <v>131</v>
      </c>
    </row>
    <row r="78" spans="1:5" x14ac:dyDescent="0.25">
      <c r="A78" t="s">
        <v>10</v>
      </c>
      <c r="B78" t="s">
        <v>31</v>
      </c>
      <c r="C78" t="s">
        <v>2</v>
      </c>
      <c r="D78" t="s">
        <v>131</v>
      </c>
      <c r="E78" s="1">
        <v>2</v>
      </c>
    </row>
    <row r="79" spans="1:5" x14ac:dyDescent="0.25">
      <c r="A79" t="s">
        <v>10</v>
      </c>
      <c r="B79" t="s">
        <v>11</v>
      </c>
      <c r="C79" t="s">
        <v>0</v>
      </c>
      <c r="D79" t="s">
        <v>131</v>
      </c>
      <c r="E79" s="15" t="b">
        <v>1</v>
      </c>
    </row>
    <row r="80" spans="1:5" x14ac:dyDescent="0.25">
      <c r="A80" t="s">
        <v>10</v>
      </c>
      <c r="B80" t="s">
        <v>135</v>
      </c>
      <c r="C80" t="s">
        <v>2</v>
      </c>
      <c r="D80" t="s">
        <v>131</v>
      </c>
      <c r="E80" s="17"/>
    </row>
    <row r="81" spans="1:5" x14ac:dyDescent="0.25">
      <c r="A81" t="s">
        <v>10</v>
      </c>
      <c r="B81" t="s">
        <v>136</v>
      </c>
      <c r="C81" t="s">
        <v>2</v>
      </c>
      <c r="D81" t="s">
        <v>131</v>
      </c>
      <c r="E81" s="17"/>
    </row>
    <row r="82" spans="1:5" x14ac:dyDescent="0.25">
      <c r="A82" t="s">
        <v>10</v>
      </c>
      <c r="B82" t="s">
        <v>137</v>
      </c>
      <c r="C82" t="s">
        <v>2</v>
      </c>
      <c r="D82" t="s">
        <v>131</v>
      </c>
      <c r="E82" s="17"/>
    </row>
    <row r="83" spans="1:5" x14ac:dyDescent="0.25">
      <c r="A83" t="s">
        <v>10</v>
      </c>
      <c r="B83" t="s">
        <v>138</v>
      </c>
      <c r="C83" t="s">
        <v>2</v>
      </c>
      <c r="D83" t="s">
        <v>131</v>
      </c>
      <c r="E83" s="17"/>
    </row>
    <row r="84" spans="1:5" x14ac:dyDescent="0.25">
      <c r="A84" t="s">
        <v>10</v>
      </c>
      <c r="B84" t="s">
        <v>139</v>
      </c>
      <c r="C84" t="s">
        <v>2</v>
      </c>
      <c r="D84" t="s">
        <v>131</v>
      </c>
      <c r="E84" s="17"/>
    </row>
    <row r="85" spans="1:5" x14ac:dyDescent="0.25">
      <c r="A85" t="s">
        <v>10</v>
      </c>
      <c r="B85" t="s">
        <v>186</v>
      </c>
      <c r="C85" t="s">
        <v>2</v>
      </c>
      <c r="D85" t="s">
        <v>1</v>
      </c>
      <c r="E85" s="19"/>
    </row>
    <row r="86" spans="1:5" x14ac:dyDescent="0.25">
      <c r="A86" t="s">
        <v>10</v>
      </c>
      <c r="B86" t="s">
        <v>207</v>
      </c>
      <c r="C86" t="s">
        <v>2</v>
      </c>
      <c r="D86" t="s">
        <v>1</v>
      </c>
      <c r="E86" s="19"/>
    </row>
    <row r="87" spans="1:5" x14ac:dyDescent="0.25">
      <c r="A87" t="s">
        <v>10</v>
      </c>
      <c r="B87" t="s">
        <v>208</v>
      </c>
      <c r="C87" t="s">
        <v>106</v>
      </c>
      <c r="D87" t="s">
        <v>1</v>
      </c>
      <c r="E87" s="19"/>
    </row>
    <row r="88" spans="1:5" x14ac:dyDescent="0.25">
      <c r="A88" t="s">
        <v>10</v>
      </c>
      <c r="B88" t="s">
        <v>209</v>
      </c>
      <c r="C88" t="s">
        <v>106</v>
      </c>
      <c r="D88" t="s">
        <v>1</v>
      </c>
      <c r="E88" s="19"/>
    </row>
    <row r="89" spans="1:5" x14ac:dyDescent="0.25">
      <c r="A89" t="s">
        <v>10</v>
      </c>
      <c r="B89" t="s">
        <v>210</v>
      </c>
      <c r="C89" t="s">
        <v>2</v>
      </c>
      <c r="D89" t="s">
        <v>1</v>
      </c>
      <c r="E89" s="19"/>
    </row>
    <row r="90" spans="1:5" x14ac:dyDescent="0.25">
      <c r="A90" t="s">
        <v>10</v>
      </c>
      <c r="B90" t="s">
        <v>211</v>
      </c>
      <c r="C90" t="s">
        <v>2</v>
      </c>
      <c r="D90" t="s">
        <v>1</v>
      </c>
      <c r="E90" s="19"/>
    </row>
    <row r="91" spans="1:5" x14ac:dyDescent="0.25">
      <c r="A91" t="s">
        <v>10</v>
      </c>
      <c r="B91" t="s">
        <v>212</v>
      </c>
      <c r="C91" t="s">
        <v>2</v>
      </c>
      <c r="D91" t="s">
        <v>1</v>
      </c>
      <c r="E91" s="19"/>
    </row>
    <row r="92" spans="1:5" x14ac:dyDescent="0.25">
      <c r="A92" t="s">
        <v>10</v>
      </c>
      <c r="B92" t="s">
        <v>213</v>
      </c>
      <c r="C92" t="s">
        <v>106</v>
      </c>
      <c r="D92" t="s">
        <v>1</v>
      </c>
      <c r="E92" s="19"/>
    </row>
    <row r="93" spans="1:5" x14ac:dyDescent="0.25">
      <c r="A93" t="s">
        <v>10</v>
      </c>
      <c r="B93" t="s">
        <v>214</v>
      </c>
      <c r="C93" t="s">
        <v>106</v>
      </c>
      <c r="D93" t="s">
        <v>1</v>
      </c>
      <c r="E93" s="19"/>
    </row>
    <row r="94" spans="1:5" x14ac:dyDescent="0.25">
      <c r="A94" t="s">
        <v>10</v>
      </c>
      <c r="B94" t="s">
        <v>215</v>
      </c>
      <c r="C94" t="s">
        <v>106</v>
      </c>
      <c r="D94" t="s">
        <v>1</v>
      </c>
      <c r="E94" s="19"/>
    </row>
    <row r="95" spans="1:5" x14ac:dyDescent="0.25">
      <c r="A95" t="s">
        <v>10</v>
      </c>
      <c r="B95" t="s">
        <v>225</v>
      </c>
      <c r="C95" t="s">
        <v>2</v>
      </c>
      <c r="D95" t="s">
        <v>1</v>
      </c>
      <c r="E95" s="19"/>
    </row>
    <row r="96" spans="1:5" x14ac:dyDescent="0.25">
      <c r="A96" t="s">
        <v>117</v>
      </c>
      <c r="B96" t="s">
        <v>3</v>
      </c>
      <c r="C96" t="s">
        <v>0</v>
      </c>
      <c r="D96" t="s">
        <v>131</v>
      </c>
      <c r="E96" s="15" t="b">
        <v>1</v>
      </c>
    </row>
    <row r="97" spans="1:5" x14ac:dyDescent="0.25">
      <c r="A97" t="s">
        <v>117</v>
      </c>
      <c r="B97" t="s">
        <v>35</v>
      </c>
      <c r="C97" t="s">
        <v>2</v>
      </c>
      <c r="D97" t="s">
        <v>1</v>
      </c>
      <c r="E97" s="15"/>
    </row>
    <row r="98" spans="1:5" x14ac:dyDescent="0.25">
      <c r="A98" t="s">
        <v>117</v>
      </c>
      <c r="B98" t="s">
        <v>8</v>
      </c>
      <c r="C98" t="s">
        <v>2</v>
      </c>
      <c r="D98" t="s">
        <v>131</v>
      </c>
      <c r="E98" s="15"/>
    </row>
    <row r="99" spans="1:5" x14ac:dyDescent="0.25">
      <c r="A99" t="s">
        <v>117</v>
      </c>
      <c r="B99" t="s">
        <v>9</v>
      </c>
      <c r="C99" t="s">
        <v>2</v>
      </c>
      <c r="D99" t="s">
        <v>131</v>
      </c>
      <c r="E99" s="15"/>
    </row>
    <row r="100" spans="1:5" x14ac:dyDescent="0.25">
      <c r="A100" t="s">
        <v>117</v>
      </c>
      <c r="B100" t="s">
        <v>4</v>
      </c>
      <c r="C100" t="s">
        <v>2</v>
      </c>
      <c r="D100" t="s">
        <v>131</v>
      </c>
      <c r="E100" s="15"/>
    </row>
    <row r="101" spans="1:5" x14ac:dyDescent="0.25">
      <c r="A101" t="s">
        <v>117</v>
      </c>
      <c r="B101" t="s">
        <v>5</v>
      </c>
      <c r="C101" t="s">
        <v>2</v>
      </c>
      <c r="D101" t="s">
        <v>131</v>
      </c>
      <c r="E101" s="15"/>
    </row>
    <row r="102" spans="1:5" x14ac:dyDescent="0.25">
      <c r="A102" t="s">
        <v>117</v>
      </c>
      <c r="B102" t="s">
        <v>6</v>
      </c>
      <c r="C102" t="s">
        <v>2</v>
      </c>
      <c r="D102" t="s">
        <v>131</v>
      </c>
      <c r="E102" s="15"/>
    </row>
    <row r="103" spans="1:5" x14ac:dyDescent="0.25">
      <c r="A103" t="s">
        <v>117</v>
      </c>
      <c r="B103" t="s">
        <v>7</v>
      </c>
      <c r="C103" t="s">
        <v>2</v>
      </c>
      <c r="D103" t="s">
        <v>131</v>
      </c>
      <c r="E103" s="15"/>
    </row>
    <row r="104" spans="1:5" x14ac:dyDescent="0.25">
      <c r="A104" t="s">
        <v>117</v>
      </c>
      <c r="B104" t="s">
        <v>22</v>
      </c>
      <c r="C104" t="s">
        <v>2</v>
      </c>
      <c r="D104" t="s">
        <v>131</v>
      </c>
      <c r="E104" s="15"/>
    </row>
    <row r="105" spans="1:5" x14ac:dyDescent="0.25">
      <c r="A105" t="s">
        <v>117</v>
      </c>
      <c r="B105" t="s">
        <v>24</v>
      </c>
      <c r="C105" t="s">
        <v>2</v>
      </c>
      <c r="D105" t="s">
        <v>131</v>
      </c>
      <c r="E105" s="15"/>
    </row>
    <row r="106" spans="1:5" x14ac:dyDescent="0.25">
      <c r="A106" t="s">
        <v>117</v>
      </c>
      <c r="B106" t="s">
        <v>23</v>
      </c>
      <c r="C106" t="s">
        <v>2</v>
      </c>
      <c r="D106" t="s">
        <v>131</v>
      </c>
      <c r="E106" s="15"/>
    </row>
    <row r="107" spans="1:5" x14ac:dyDescent="0.25">
      <c r="A107" t="s">
        <v>117</v>
      </c>
      <c r="B107" t="s">
        <v>21</v>
      </c>
      <c r="C107" t="s">
        <v>2</v>
      </c>
      <c r="D107" t="s">
        <v>131</v>
      </c>
      <c r="E107" s="15"/>
    </row>
    <row r="108" spans="1:5" x14ac:dyDescent="0.25">
      <c r="A108" t="s">
        <v>117</v>
      </c>
      <c r="B108" t="s">
        <v>201</v>
      </c>
      <c r="C108" t="s">
        <v>2</v>
      </c>
      <c r="D108" t="s">
        <v>131</v>
      </c>
      <c r="E108" s="19"/>
    </row>
    <row r="109" spans="1:5" x14ac:dyDescent="0.25">
      <c r="A109" t="s">
        <v>117</v>
      </c>
      <c r="B109" t="s">
        <v>25</v>
      </c>
      <c r="C109" t="s">
        <v>2</v>
      </c>
      <c r="D109" t="s">
        <v>131</v>
      </c>
      <c r="E109" s="15"/>
    </row>
    <row r="110" spans="1:5" x14ac:dyDescent="0.25">
      <c r="A110" t="s">
        <v>117</v>
      </c>
      <c r="B110" t="s">
        <v>27</v>
      </c>
      <c r="C110" t="s">
        <v>2</v>
      </c>
      <c r="D110" t="s">
        <v>131</v>
      </c>
      <c r="E110" s="15"/>
    </row>
    <row r="111" spans="1:5" x14ac:dyDescent="0.25">
      <c r="A111" t="s">
        <v>117</v>
      </c>
      <c r="B111" t="s">
        <v>26</v>
      </c>
      <c r="C111" t="s">
        <v>2</v>
      </c>
      <c r="D111" t="s">
        <v>131</v>
      </c>
      <c r="E111" s="15"/>
    </row>
    <row r="112" spans="1:5" x14ac:dyDescent="0.25">
      <c r="A112" t="s">
        <v>117</v>
      </c>
      <c r="B112" t="s">
        <v>28</v>
      </c>
      <c r="C112" t="s">
        <v>2</v>
      </c>
      <c r="D112" t="s">
        <v>131</v>
      </c>
      <c r="E112" s="15"/>
    </row>
    <row r="113" spans="1:5" x14ac:dyDescent="0.25">
      <c r="A113" t="s">
        <v>117</v>
      </c>
      <c r="B113" t="s">
        <v>34</v>
      </c>
      <c r="C113" t="s">
        <v>2</v>
      </c>
      <c r="D113" t="s">
        <v>131</v>
      </c>
      <c r="E113" s="15"/>
    </row>
    <row r="114" spans="1:5" x14ac:dyDescent="0.25">
      <c r="A114" t="s">
        <v>117</v>
      </c>
      <c r="B114" t="s">
        <v>202</v>
      </c>
      <c r="C114" t="s">
        <v>2</v>
      </c>
      <c r="D114" t="s">
        <v>131</v>
      </c>
      <c r="E114" s="19"/>
    </row>
    <row r="115" spans="1:5" x14ac:dyDescent="0.25">
      <c r="A115" t="s">
        <v>117</v>
      </c>
      <c r="B115" t="s">
        <v>203</v>
      </c>
      <c r="C115" t="s">
        <v>2</v>
      </c>
      <c r="D115" t="s">
        <v>131</v>
      </c>
      <c r="E115" s="19"/>
    </row>
    <row r="116" spans="1:5" x14ac:dyDescent="0.25">
      <c r="A116" t="s">
        <v>117</v>
      </c>
      <c r="B116" t="s">
        <v>204</v>
      </c>
      <c r="C116" t="s">
        <v>2</v>
      </c>
      <c r="D116" t="s">
        <v>131</v>
      </c>
      <c r="E116" s="19"/>
    </row>
    <row r="117" spans="1:5" x14ac:dyDescent="0.25">
      <c r="A117" t="s">
        <v>117</v>
      </c>
      <c r="B117" t="s">
        <v>205</v>
      </c>
      <c r="C117" t="s">
        <v>2</v>
      </c>
      <c r="D117" t="s">
        <v>131</v>
      </c>
      <c r="E117" s="19"/>
    </row>
    <row r="118" spans="1:5" x14ac:dyDescent="0.25">
      <c r="A118" t="s">
        <v>117</v>
      </c>
      <c r="B118" t="s">
        <v>206</v>
      </c>
      <c r="C118" t="s">
        <v>2</v>
      </c>
      <c r="D118" t="s">
        <v>131</v>
      </c>
      <c r="E118" s="19"/>
    </row>
    <row r="119" spans="1:5" x14ac:dyDescent="0.25">
      <c r="A119" t="s">
        <v>117</v>
      </c>
      <c r="B119" t="s">
        <v>29</v>
      </c>
      <c r="C119" t="s">
        <v>2</v>
      </c>
      <c r="D119" t="s">
        <v>131</v>
      </c>
      <c r="E119" s="15"/>
    </row>
    <row r="120" spans="1:5" x14ac:dyDescent="0.25">
      <c r="A120" t="s">
        <v>117</v>
      </c>
      <c r="B120" t="s">
        <v>30</v>
      </c>
      <c r="C120" t="s">
        <v>2</v>
      </c>
      <c r="D120" t="s">
        <v>131</v>
      </c>
      <c r="E120" s="15"/>
    </row>
    <row r="121" spans="1:5" x14ac:dyDescent="0.25">
      <c r="A121" t="s">
        <v>117</v>
      </c>
      <c r="B121" t="s">
        <v>31</v>
      </c>
      <c r="C121" t="s">
        <v>2</v>
      </c>
      <c r="D121" t="s">
        <v>131</v>
      </c>
      <c r="E121" s="15">
        <v>2</v>
      </c>
    </row>
    <row r="122" spans="1:5" x14ac:dyDescent="0.25">
      <c r="A122" t="s">
        <v>117</v>
      </c>
      <c r="B122" t="s">
        <v>11</v>
      </c>
      <c r="C122" t="s">
        <v>0</v>
      </c>
      <c r="D122" t="s">
        <v>131</v>
      </c>
      <c r="E122" s="15" t="b">
        <v>1</v>
      </c>
    </row>
    <row r="123" spans="1:5" x14ac:dyDescent="0.25">
      <c r="A123" t="s">
        <v>117</v>
      </c>
      <c r="B123" t="s">
        <v>135</v>
      </c>
      <c r="C123" t="s">
        <v>2</v>
      </c>
      <c r="D123" t="s">
        <v>131</v>
      </c>
      <c r="E123" s="17"/>
    </row>
    <row r="124" spans="1:5" x14ac:dyDescent="0.25">
      <c r="A124" t="s">
        <v>117</v>
      </c>
      <c r="B124" t="s">
        <v>136</v>
      </c>
      <c r="C124" t="s">
        <v>2</v>
      </c>
      <c r="D124" t="s">
        <v>131</v>
      </c>
      <c r="E124" s="17"/>
    </row>
    <row r="125" spans="1:5" x14ac:dyDescent="0.25">
      <c r="A125" t="s">
        <v>117</v>
      </c>
      <c r="B125" t="s">
        <v>137</v>
      </c>
      <c r="C125" t="s">
        <v>2</v>
      </c>
      <c r="D125" t="s">
        <v>131</v>
      </c>
      <c r="E125" s="17"/>
    </row>
    <row r="126" spans="1:5" x14ac:dyDescent="0.25">
      <c r="A126" t="s">
        <v>117</v>
      </c>
      <c r="B126" t="s">
        <v>138</v>
      </c>
      <c r="C126" t="s">
        <v>2</v>
      </c>
      <c r="D126" t="s">
        <v>131</v>
      </c>
      <c r="E126" s="17"/>
    </row>
    <row r="127" spans="1:5" x14ac:dyDescent="0.25">
      <c r="A127" t="s">
        <v>117</v>
      </c>
      <c r="B127" t="s">
        <v>139</v>
      </c>
      <c r="C127" t="s">
        <v>2</v>
      </c>
      <c r="D127" t="s">
        <v>131</v>
      </c>
      <c r="E127" s="17"/>
    </row>
    <row r="128" spans="1:5" x14ac:dyDescent="0.25">
      <c r="A128" t="s">
        <v>117</v>
      </c>
      <c r="B128" t="s">
        <v>186</v>
      </c>
      <c r="C128" t="s">
        <v>2</v>
      </c>
      <c r="D128" t="s">
        <v>1</v>
      </c>
      <c r="E128" s="19"/>
    </row>
    <row r="129" spans="1:5" x14ac:dyDescent="0.25">
      <c r="A129" t="s">
        <v>117</v>
      </c>
      <c r="B129" t="s">
        <v>207</v>
      </c>
      <c r="C129" t="s">
        <v>2</v>
      </c>
      <c r="D129" t="s">
        <v>1</v>
      </c>
      <c r="E129" s="19"/>
    </row>
    <row r="130" spans="1:5" x14ac:dyDescent="0.25">
      <c r="A130" t="s">
        <v>117</v>
      </c>
      <c r="B130" t="s">
        <v>208</v>
      </c>
      <c r="C130" t="s">
        <v>106</v>
      </c>
      <c r="D130" t="s">
        <v>1</v>
      </c>
      <c r="E130" s="19"/>
    </row>
    <row r="131" spans="1:5" x14ac:dyDescent="0.25">
      <c r="A131" t="s">
        <v>117</v>
      </c>
      <c r="B131" t="s">
        <v>209</v>
      </c>
      <c r="C131" t="s">
        <v>106</v>
      </c>
      <c r="D131" t="s">
        <v>1</v>
      </c>
      <c r="E131" s="19"/>
    </row>
    <row r="132" spans="1:5" x14ac:dyDescent="0.25">
      <c r="A132" t="s">
        <v>117</v>
      </c>
      <c r="B132" t="s">
        <v>210</v>
      </c>
      <c r="C132" t="s">
        <v>2</v>
      </c>
      <c r="D132" t="s">
        <v>1</v>
      </c>
      <c r="E132" s="19"/>
    </row>
    <row r="133" spans="1:5" x14ac:dyDescent="0.25">
      <c r="A133" t="s">
        <v>117</v>
      </c>
      <c r="B133" t="s">
        <v>211</v>
      </c>
      <c r="C133" t="s">
        <v>2</v>
      </c>
      <c r="D133" t="s">
        <v>1</v>
      </c>
      <c r="E133" s="19"/>
    </row>
    <row r="134" spans="1:5" x14ac:dyDescent="0.25">
      <c r="A134" t="s">
        <v>117</v>
      </c>
      <c r="B134" t="s">
        <v>212</v>
      </c>
      <c r="C134" t="s">
        <v>2</v>
      </c>
      <c r="D134" t="s">
        <v>1</v>
      </c>
      <c r="E134" s="19"/>
    </row>
    <row r="135" spans="1:5" x14ac:dyDescent="0.25">
      <c r="A135" t="s">
        <v>117</v>
      </c>
      <c r="B135" t="s">
        <v>213</v>
      </c>
      <c r="C135" t="s">
        <v>106</v>
      </c>
      <c r="D135" t="s">
        <v>1</v>
      </c>
      <c r="E135" s="19"/>
    </row>
    <row r="136" spans="1:5" x14ac:dyDescent="0.25">
      <c r="A136" t="s">
        <v>117</v>
      </c>
      <c r="B136" t="s">
        <v>214</v>
      </c>
      <c r="C136" t="s">
        <v>106</v>
      </c>
      <c r="D136" t="s">
        <v>1</v>
      </c>
      <c r="E136" s="19"/>
    </row>
    <row r="137" spans="1:5" x14ac:dyDescent="0.25">
      <c r="A137" t="s">
        <v>117</v>
      </c>
      <c r="B137" t="s">
        <v>215</v>
      </c>
      <c r="C137" t="s">
        <v>106</v>
      </c>
      <c r="D137" t="s">
        <v>1</v>
      </c>
      <c r="E137" s="19"/>
    </row>
    <row r="138" spans="1:5" x14ac:dyDescent="0.25">
      <c r="A138" t="s">
        <v>117</v>
      </c>
      <c r="B138" t="s">
        <v>225</v>
      </c>
      <c r="C138" t="s">
        <v>2</v>
      </c>
      <c r="D138" t="s">
        <v>1</v>
      </c>
      <c r="E138" s="19"/>
    </row>
    <row r="139" spans="1:5" x14ac:dyDescent="0.25">
      <c r="A139" t="s">
        <v>134</v>
      </c>
      <c r="B139" t="s">
        <v>3</v>
      </c>
      <c r="C139" t="s">
        <v>0</v>
      </c>
      <c r="D139" t="s">
        <v>131</v>
      </c>
      <c r="E139" s="16" t="b">
        <v>1</v>
      </c>
    </row>
    <row r="140" spans="1:5" x14ac:dyDescent="0.25">
      <c r="A140" t="s">
        <v>134</v>
      </c>
      <c r="B140" t="s">
        <v>35</v>
      </c>
      <c r="C140" t="s">
        <v>2</v>
      </c>
      <c r="D140" t="s">
        <v>1</v>
      </c>
      <c r="E140" s="16"/>
    </row>
    <row r="141" spans="1:5" x14ac:dyDescent="0.25">
      <c r="A141" t="s">
        <v>134</v>
      </c>
      <c r="B141" t="s">
        <v>8</v>
      </c>
      <c r="C141" t="s">
        <v>2</v>
      </c>
      <c r="D141" t="s">
        <v>131</v>
      </c>
      <c r="E141" s="16"/>
    </row>
    <row r="142" spans="1:5" x14ac:dyDescent="0.25">
      <c r="A142" t="s">
        <v>134</v>
      </c>
      <c r="B142" t="s">
        <v>9</v>
      </c>
      <c r="C142" t="s">
        <v>2</v>
      </c>
      <c r="D142" t="s">
        <v>131</v>
      </c>
      <c r="E142" s="16"/>
    </row>
    <row r="143" spans="1:5" x14ac:dyDescent="0.25">
      <c r="A143" t="s">
        <v>134</v>
      </c>
      <c r="B143" t="s">
        <v>4</v>
      </c>
      <c r="C143" t="s">
        <v>2</v>
      </c>
      <c r="D143" t="s">
        <v>131</v>
      </c>
      <c r="E143" s="16"/>
    </row>
    <row r="144" spans="1:5" x14ac:dyDescent="0.25">
      <c r="A144" t="s">
        <v>134</v>
      </c>
      <c r="B144" t="s">
        <v>5</v>
      </c>
      <c r="C144" t="s">
        <v>2</v>
      </c>
      <c r="D144" t="s">
        <v>131</v>
      </c>
      <c r="E144" s="16"/>
    </row>
    <row r="145" spans="1:5" x14ac:dyDescent="0.25">
      <c r="A145" t="s">
        <v>134</v>
      </c>
      <c r="B145" t="s">
        <v>6</v>
      </c>
      <c r="C145" t="s">
        <v>2</v>
      </c>
      <c r="D145" t="s">
        <v>131</v>
      </c>
      <c r="E145" s="16"/>
    </row>
    <row r="146" spans="1:5" x14ac:dyDescent="0.25">
      <c r="A146" t="s">
        <v>134</v>
      </c>
      <c r="B146" t="s">
        <v>7</v>
      </c>
      <c r="C146" t="s">
        <v>2</v>
      </c>
      <c r="D146" t="s">
        <v>131</v>
      </c>
      <c r="E146" s="16"/>
    </row>
    <row r="147" spans="1:5" x14ac:dyDescent="0.25">
      <c r="A147" t="s">
        <v>134</v>
      </c>
      <c r="B147" t="s">
        <v>22</v>
      </c>
      <c r="C147" t="s">
        <v>2</v>
      </c>
      <c r="D147" t="s">
        <v>131</v>
      </c>
      <c r="E147" s="16"/>
    </row>
    <row r="148" spans="1:5" x14ac:dyDescent="0.25">
      <c r="A148" t="s">
        <v>134</v>
      </c>
      <c r="B148" t="s">
        <v>24</v>
      </c>
      <c r="C148" t="s">
        <v>2</v>
      </c>
      <c r="D148" t="s">
        <v>131</v>
      </c>
      <c r="E148" s="16"/>
    </row>
    <row r="149" spans="1:5" x14ac:dyDescent="0.25">
      <c r="A149" t="s">
        <v>134</v>
      </c>
      <c r="B149" t="s">
        <v>23</v>
      </c>
      <c r="C149" t="s">
        <v>2</v>
      </c>
      <c r="D149" t="s">
        <v>131</v>
      </c>
      <c r="E149" s="16"/>
    </row>
    <row r="150" spans="1:5" x14ac:dyDescent="0.25">
      <c r="A150" t="s">
        <v>134</v>
      </c>
      <c r="B150" t="s">
        <v>201</v>
      </c>
      <c r="C150" t="s">
        <v>2</v>
      </c>
      <c r="D150" t="s">
        <v>131</v>
      </c>
      <c r="E150" s="19"/>
    </row>
    <row r="151" spans="1:5" x14ac:dyDescent="0.25">
      <c r="A151" t="s">
        <v>134</v>
      </c>
      <c r="B151" t="s">
        <v>21</v>
      </c>
      <c r="C151" t="s">
        <v>2</v>
      </c>
      <c r="D151" t="s">
        <v>131</v>
      </c>
      <c r="E151" s="16"/>
    </row>
    <row r="152" spans="1:5" x14ac:dyDescent="0.25">
      <c r="A152" t="s">
        <v>134</v>
      </c>
      <c r="B152" t="s">
        <v>25</v>
      </c>
      <c r="C152" t="s">
        <v>2</v>
      </c>
      <c r="D152" t="s">
        <v>131</v>
      </c>
      <c r="E152" s="16"/>
    </row>
    <row r="153" spans="1:5" x14ac:dyDescent="0.25">
      <c r="A153" t="s">
        <v>134</v>
      </c>
      <c r="B153" t="s">
        <v>27</v>
      </c>
      <c r="C153" t="s">
        <v>2</v>
      </c>
      <c r="D153" t="s">
        <v>131</v>
      </c>
      <c r="E153" s="16"/>
    </row>
    <row r="154" spans="1:5" x14ac:dyDescent="0.25">
      <c r="A154" t="s">
        <v>134</v>
      </c>
      <c r="B154" t="s">
        <v>26</v>
      </c>
      <c r="C154" t="s">
        <v>2</v>
      </c>
      <c r="D154" t="s">
        <v>131</v>
      </c>
      <c r="E154" s="16"/>
    </row>
    <row r="155" spans="1:5" x14ac:dyDescent="0.25">
      <c r="A155" t="s">
        <v>134</v>
      </c>
      <c r="B155" t="s">
        <v>28</v>
      </c>
      <c r="C155" t="s">
        <v>2</v>
      </c>
      <c r="D155" t="s">
        <v>131</v>
      </c>
      <c r="E155" s="16"/>
    </row>
    <row r="156" spans="1:5" x14ac:dyDescent="0.25">
      <c r="A156" t="s">
        <v>134</v>
      </c>
      <c r="B156" t="s">
        <v>34</v>
      </c>
      <c r="C156" t="s">
        <v>2</v>
      </c>
      <c r="D156" t="s">
        <v>131</v>
      </c>
      <c r="E156" s="16"/>
    </row>
    <row r="157" spans="1:5" x14ac:dyDescent="0.25">
      <c r="A157" t="s">
        <v>134</v>
      </c>
      <c r="B157" t="s">
        <v>202</v>
      </c>
      <c r="C157" t="s">
        <v>2</v>
      </c>
      <c r="D157" t="s">
        <v>131</v>
      </c>
      <c r="E157" s="19"/>
    </row>
    <row r="158" spans="1:5" x14ac:dyDescent="0.25">
      <c r="A158" t="s">
        <v>134</v>
      </c>
      <c r="B158" t="s">
        <v>203</v>
      </c>
      <c r="C158" t="s">
        <v>2</v>
      </c>
      <c r="D158" t="s">
        <v>131</v>
      </c>
      <c r="E158" s="19"/>
    </row>
    <row r="159" spans="1:5" x14ac:dyDescent="0.25">
      <c r="A159" t="s">
        <v>134</v>
      </c>
      <c r="B159" t="s">
        <v>204</v>
      </c>
      <c r="C159" t="s">
        <v>2</v>
      </c>
      <c r="D159" t="s">
        <v>131</v>
      </c>
      <c r="E159" s="19"/>
    </row>
    <row r="160" spans="1:5" x14ac:dyDescent="0.25">
      <c r="A160" t="s">
        <v>134</v>
      </c>
      <c r="B160" t="s">
        <v>205</v>
      </c>
      <c r="C160" t="s">
        <v>2</v>
      </c>
      <c r="D160" t="s">
        <v>131</v>
      </c>
      <c r="E160" s="19"/>
    </row>
    <row r="161" spans="1:5" x14ac:dyDescent="0.25">
      <c r="A161" t="s">
        <v>134</v>
      </c>
      <c r="B161" t="s">
        <v>206</v>
      </c>
      <c r="C161" t="s">
        <v>2</v>
      </c>
      <c r="D161" t="s">
        <v>131</v>
      </c>
      <c r="E161" s="19"/>
    </row>
    <row r="162" spans="1:5" x14ac:dyDescent="0.25">
      <c r="A162" t="s">
        <v>134</v>
      </c>
      <c r="B162" t="s">
        <v>29</v>
      </c>
      <c r="C162" t="s">
        <v>2</v>
      </c>
      <c r="D162" t="s">
        <v>131</v>
      </c>
      <c r="E162" s="16"/>
    </row>
    <row r="163" spans="1:5" x14ac:dyDescent="0.25">
      <c r="A163" t="s">
        <v>134</v>
      </c>
      <c r="B163" t="s">
        <v>30</v>
      </c>
      <c r="C163" t="s">
        <v>2</v>
      </c>
      <c r="D163" t="s">
        <v>131</v>
      </c>
      <c r="E163" s="16"/>
    </row>
    <row r="164" spans="1:5" x14ac:dyDescent="0.25">
      <c r="A164" t="s">
        <v>134</v>
      </c>
      <c r="B164" t="s">
        <v>31</v>
      </c>
      <c r="C164" t="s">
        <v>2</v>
      </c>
      <c r="D164" t="s">
        <v>131</v>
      </c>
      <c r="E164" s="16">
        <v>2</v>
      </c>
    </row>
    <row r="165" spans="1:5" x14ac:dyDescent="0.25">
      <c r="A165" t="s">
        <v>134</v>
      </c>
      <c r="B165" t="s">
        <v>11</v>
      </c>
      <c r="C165" t="s">
        <v>0</v>
      </c>
      <c r="D165" t="s">
        <v>131</v>
      </c>
      <c r="E165" s="16" t="b">
        <v>1</v>
      </c>
    </row>
    <row r="166" spans="1:5" x14ac:dyDescent="0.25">
      <c r="A166" t="s">
        <v>134</v>
      </c>
      <c r="B166" t="s">
        <v>135</v>
      </c>
      <c r="C166" t="s">
        <v>2</v>
      </c>
      <c r="D166" t="s">
        <v>131</v>
      </c>
    </row>
    <row r="167" spans="1:5" x14ac:dyDescent="0.25">
      <c r="A167" t="s">
        <v>134</v>
      </c>
      <c r="B167" t="s">
        <v>136</v>
      </c>
      <c r="C167" t="s">
        <v>2</v>
      </c>
      <c r="D167" t="s">
        <v>131</v>
      </c>
    </row>
    <row r="168" spans="1:5" x14ac:dyDescent="0.25">
      <c r="A168" t="s">
        <v>134</v>
      </c>
      <c r="B168" t="s">
        <v>137</v>
      </c>
      <c r="C168" t="s">
        <v>2</v>
      </c>
      <c r="D168" t="s">
        <v>131</v>
      </c>
    </row>
    <row r="169" spans="1:5" x14ac:dyDescent="0.25">
      <c r="A169" t="s">
        <v>134</v>
      </c>
      <c r="B169" t="s">
        <v>138</v>
      </c>
      <c r="C169" t="s">
        <v>2</v>
      </c>
      <c r="D169" t="s">
        <v>131</v>
      </c>
    </row>
    <row r="170" spans="1:5" x14ac:dyDescent="0.25">
      <c r="A170" t="s">
        <v>134</v>
      </c>
      <c r="B170" t="s">
        <v>139</v>
      </c>
      <c r="C170" t="s">
        <v>2</v>
      </c>
      <c r="D170" t="s">
        <v>131</v>
      </c>
    </row>
    <row r="171" spans="1:5" x14ac:dyDescent="0.25">
      <c r="A171" t="s">
        <v>134</v>
      </c>
      <c r="B171" t="s">
        <v>186</v>
      </c>
      <c r="C171" t="s">
        <v>2</v>
      </c>
      <c r="D171" t="s">
        <v>1</v>
      </c>
      <c r="E171" s="19"/>
    </row>
    <row r="172" spans="1:5" x14ac:dyDescent="0.25">
      <c r="A172" t="s">
        <v>134</v>
      </c>
      <c r="B172" t="s">
        <v>207</v>
      </c>
      <c r="C172" t="s">
        <v>2</v>
      </c>
      <c r="D172" t="s">
        <v>1</v>
      </c>
      <c r="E172" s="19"/>
    </row>
    <row r="173" spans="1:5" x14ac:dyDescent="0.25">
      <c r="A173" t="s">
        <v>134</v>
      </c>
      <c r="B173" t="s">
        <v>208</v>
      </c>
      <c r="C173" t="s">
        <v>106</v>
      </c>
      <c r="D173" t="s">
        <v>1</v>
      </c>
      <c r="E173" s="19"/>
    </row>
    <row r="174" spans="1:5" x14ac:dyDescent="0.25">
      <c r="A174" t="s">
        <v>134</v>
      </c>
      <c r="B174" t="s">
        <v>209</v>
      </c>
      <c r="C174" t="s">
        <v>106</v>
      </c>
      <c r="D174" t="s">
        <v>1</v>
      </c>
      <c r="E174" s="19"/>
    </row>
    <row r="175" spans="1:5" x14ac:dyDescent="0.25">
      <c r="A175" t="s">
        <v>134</v>
      </c>
      <c r="B175" t="s">
        <v>210</v>
      </c>
      <c r="C175" t="s">
        <v>2</v>
      </c>
      <c r="D175" t="s">
        <v>1</v>
      </c>
      <c r="E175" s="19"/>
    </row>
    <row r="176" spans="1:5" x14ac:dyDescent="0.25">
      <c r="A176" t="s">
        <v>134</v>
      </c>
      <c r="B176" t="s">
        <v>211</v>
      </c>
      <c r="C176" t="s">
        <v>2</v>
      </c>
      <c r="D176" t="s">
        <v>1</v>
      </c>
      <c r="E176" s="19"/>
    </row>
    <row r="177" spans="1:5" x14ac:dyDescent="0.25">
      <c r="A177" t="s">
        <v>134</v>
      </c>
      <c r="B177" t="s">
        <v>212</v>
      </c>
      <c r="C177" t="s">
        <v>2</v>
      </c>
      <c r="D177" t="s">
        <v>1</v>
      </c>
      <c r="E177" s="19"/>
    </row>
    <row r="178" spans="1:5" x14ac:dyDescent="0.25">
      <c r="A178" t="s">
        <v>134</v>
      </c>
      <c r="B178" t="s">
        <v>213</v>
      </c>
      <c r="C178" t="s">
        <v>106</v>
      </c>
      <c r="D178" t="s">
        <v>1</v>
      </c>
      <c r="E178" s="19"/>
    </row>
    <row r="179" spans="1:5" x14ac:dyDescent="0.25">
      <c r="A179" t="s">
        <v>134</v>
      </c>
      <c r="B179" t="s">
        <v>214</v>
      </c>
      <c r="C179" t="s">
        <v>106</v>
      </c>
      <c r="D179" t="s">
        <v>1</v>
      </c>
      <c r="E179" s="19"/>
    </row>
    <row r="180" spans="1:5" x14ac:dyDescent="0.25">
      <c r="A180" t="s">
        <v>134</v>
      </c>
      <c r="B180" t="s">
        <v>215</v>
      </c>
      <c r="C180" t="s">
        <v>106</v>
      </c>
      <c r="D180" t="s">
        <v>1</v>
      </c>
      <c r="E180" s="19"/>
    </row>
    <row r="181" spans="1:5" x14ac:dyDescent="0.25">
      <c r="A181" t="s">
        <v>134</v>
      </c>
      <c r="B181" t="s">
        <v>225</v>
      </c>
      <c r="C181" t="s">
        <v>2</v>
      </c>
      <c r="D181" t="s">
        <v>1</v>
      </c>
      <c r="E181" s="19"/>
    </row>
    <row r="182" spans="1:5" x14ac:dyDescent="0.25">
      <c r="A182" t="s">
        <v>37</v>
      </c>
      <c r="B182" t="s">
        <v>170</v>
      </c>
      <c r="C182" t="s">
        <v>2</v>
      </c>
      <c r="D182" t="s">
        <v>1</v>
      </c>
    </row>
    <row r="183" spans="1:5" x14ac:dyDescent="0.25">
      <c r="A183" t="s">
        <v>37</v>
      </c>
      <c r="B183" t="s">
        <v>165</v>
      </c>
      <c r="C183" t="s">
        <v>2</v>
      </c>
      <c r="D183" t="s">
        <v>1</v>
      </c>
    </row>
    <row r="184" spans="1:5" x14ac:dyDescent="0.25">
      <c r="A184" t="s">
        <v>37</v>
      </c>
      <c r="B184" t="s">
        <v>166</v>
      </c>
      <c r="C184" t="s">
        <v>106</v>
      </c>
      <c r="D184" t="s">
        <v>1</v>
      </c>
      <c r="E184" s="1" t="s">
        <v>171</v>
      </c>
    </row>
    <row r="185" spans="1:5" x14ac:dyDescent="0.25">
      <c r="A185" t="s">
        <v>37</v>
      </c>
      <c r="B185" t="s">
        <v>167</v>
      </c>
      <c r="C185" t="s">
        <v>2</v>
      </c>
      <c r="D185" t="s">
        <v>1</v>
      </c>
      <c r="E185" s="1">
        <v>0</v>
      </c>
    </row>
    <row r="186" spans="1:5" x14ac:dyDescent="0.25">
      <c r="A186" t="s">
        <v>37</v>
      </c>
      <c r="B186" t="s">
        <v>168</v>
      </c>
      <c r="C186" t="s">
        <v>2</v>
      </c>
      <c r="D186" t="s">
        <v>1</v>
      </c>
    </row>
    <row r="187" spans="1:5" x14ac:dyDescent="0.25">
      <c r="A187" t="s">
        <v>37</v>
      </c>
      <c r="B187" t="s">
        <v>169</v>
      </c>
      <c r="C187" t="s">
        <v>2</v>
      </c>
      <c r="D187" t="s">
        <v>1</v>
      </c>
    </row>
    <row r="188" spans="1:5" x14ac:dyDescent="0.25">
      <c r="A188" t="s">
        <v>177</v>
      </c>
      <c r="B188" t="s">
        <v>179</v>
      </c>
      <c r="C188" t="s">
        <v>106</v>
      </c>
      <c r="D188" t="s">
        <v>1</v>
      </c>
    </row>
    <row r="189" spans="1:5" x14ac:dyDescent="0.25">
      <c r="A189" t="s">
        <v>177</v>
      </c>
      <c r="B189" t="s">
        <v>180</v>
      </c>
      <c r="C189" t="s">
        <v>106</v>
      </c>
      <c r="D189" t="s">
        <v>1</v>
      </c>
    </row>
    <row r="190" spans="1:5" x14ac:dyDescent="0.25">
      <c r="A190" t="s">
        <v>172</v>
      </c>
      <c r="B190" t="s">
        <v>183</v>
      </c>
      <c r="C190" t="s">
        <v>2</v>
      </c>
      <c r="D190" t="s">
        <v>1</v>
      </c>
    </row>
    <row r="191" spans="1:5" x14ac:dyDescent="0.25">
      <c r="A191" t="s">
        <v>172</v>
      </c>
      <c r="B191" t="s">
        <v>184</v>
      </c>
      <c r="C191" t="s">
        <v>2</v>
      </c>
      <c r="D191" t="s">
        <v>1</v>
      </c>
    </row>
    <row r="192" spans="1:5" x14ac:dyDescent="0.25">
      <c r="A192" t="s">
        <v>188</v>
      </c>
      <c r="B192" t="s">
        <v>8</v>
      </c>
      <c r="C192" t="s">
        <v>2</v>
      </c>
      <c r="D192" t="s">
        <v>131</v>
      </c>
    </row>
    <row r="193" spans="1:5" x14ac:dyDescent="0.25">
      <c r="A193" t="s">
        <v>188</v>
      </c>
      <c r="B193" t="s">
        <v>9</v>
      </c>
      <c r="C193" t="s">
        <v>2</v>
      </c>
      <c r="D193" t="s">
        <v>131</v>
      </c>
    </row>
    <row r="194" spans="1:5" x14ac:dyDescent="0.25">
      <c r="A194" t="s">
        <v>188</v>
      </c>
      <c r="B194" t="s">
        <v>186</v>
      </c>
      <c r="C194" t="s">
        <v>2</v>
      </c>
      <c r="D194" t="s">
        <v>131</v>
      </c>
    </row>
    <row r="195" spans="1:5" x14ac:dyDescent="0.25">
      <c r="A195" t="s">
        <v>188</v>
      </c>
      <c r="B195" t="s">
        <v>24</v>
      </c>
      <c r="C195" t="s">
        <v>2</v>
      </c>
      <c r="D195" t="s">
        <v>131</v>
      </c>
    </row>
    <row r="196" spans="1:5" x14ac:dyDescent="0.25">
      <c r="A196" t="s">
        <v>188</v>
      </c>
      <c r="B196" t="s">
        <v>22</v>
      </c>
      <c r="C196" t="s">
        <v>2</v>
      </c>
      <c r="D196" t="s">
        <v>131</v>
      </c>
    </row>
    <row r="197" spans="1:5" x14ac:dyDescent="0.25">
      <c r="A197" t="s">
        <v>188</v>
      </c>
      <c r="B197" t="s">
        <v>23</v>
      </c>
      <c r="C197" t="s">
        <v>2</v>
      </c>
      <c r="D197" t="s">
        <v>131</v>
      </c>
    </row>
    <row r="198" spans="1:5" x14ac:dyDescent="0.25">
      <c r="A198" t="s">
        <v>188</v>
      </c>
      <c r="B198" t="s">
        <v>166</v>
      </c>
      <c r="C198" t="s">
        <v>2</v>
      </c>
      <c r="D198" t="s">
        <v>131</v>
      </c>
    </row>
    <row r="199" spans="1:5" x14ac:dyDescent="0.25">
      <c r="A199" t="s">
        <v>221</v>
      </c>
      <c r="B199" t="s">
        <v>8</v>
      </c>
      <c r="C199" t="s">
        <v>2</v>
      </c>
      <c r="D199" t="s">
        <v>131</v>
      </c>
    </row>
    <row r="200" spans="1:5" x14ac:dyDescent="0.25">
      <c r="A200" t="s">
        <v>221</v>
      </c>
      <c r="B200" t="s">
        <v>21</v>
      </c>
      <c r="C200" t="s">
        <v>2</v>
      </c>
      <c r="D200" t="s">
        <v>131</v>
      </c>
    </row>
    <row r="201" spans="1:5" x14ac:dyDescent="0.25">
      <c r="A201" t="s">
        <v>221</v>
      </c>
      <c r="B201" t="s">
        <v>207</v>
      </c>
      <c r="C201" t="s">
        <v>2</v>
      </c>
      <c r="D201" t="s">
        <v>131</v>
      </c>
    </row>
    <row r="202" spans="1:5" x14ac:dyDescent="0.25">
      <c r="A202" t="s">
        <v>221</v>
      </c>
      <c r="B202" t="s">
        <v>210</v>
      </c>
      <c r="C202" t="s">
        <v>2</v>
      </c>
      <c r="D202" t="s">
        <v>131</v>
      </c>
    </row>
    <row r="203" spans="1:5" x14ac:dyDescent="0.25">
      <c r="A203" t="s">
        <v>221</v>
      </c>
      <c r="B203" t="s">
        <v>211</v>
      </c>
      <c r="C203" t="s">
        <v>2</v>
      </c>
      <c r="D203" t="s">
        <v>131</v>
      </c>
    </row>
    <row r="204" spans="1:5" x14ac:dyDescent="0.25">
      <c r="A204" t="s">
        <v>221</v>
      </c>
      <c r="B204" t="s">
        <v>216</v>
      </c>
      <c r="C204" t="s">
        <v>2</v>
      </c>
      <c r="D204" t="s">
        <v>131</v>
      </c>
    </row>
    <row r="205" spans="1:5" x14ac:dyDescent="0.25">
      <c r="A205" t="s">
        <v>221</v>
      </c>
      <c r="B205" t="s">
        <v>217</v>
      </c>
      <c r="C205" t="s">
        <v>106</v>
      </c>
      <c r="D205" t="s">
        <v>131</v>
      </c>
    </row>
    <row r="206" spans="1:5" x14ac:dyDescent="0.25">
      <c r="A206" t="s">
        <v>221</v>
      </c>
      <c r="B206" t="s">
        <v>233</v>
      </c>
      <c r="C206" t="s">
        <v>2</v>
      </c>
      <c r="D206" t="s">
        <v>131</v>
      </c>
      <c r="E206" s="19"/>
    </row>
    <row r="207" spans="1:5" x14ac:dyDescent="0.25">
      <c r="A207" t="s">
        <v>221</v>
      </c>
      <c r="B207" t="s">
        <v>234</v>
      </c>
      <c r="C207" t="s">
        <v>106</v>
      </c>
      <c r="D207" t="s">
        <v>131</v>
      </c>
      <c r="E207" s="19"/>
    </row>
    <row r="208" spans="1:5" x14ac:dyDescent="0.25">
      <c r="A208" t="s">
        <v>221</v>
      </c>
      <c r="B208" t="s">
        <v>212</v>
      </c>
      <c r="C208" t="s">
        <v>2</v>
      </c>
      <c r="D208" t="s">
        <v>131</v>
      </c>
      <c r="E208" s="19"/>
    </row>
    <row r="209" spans="1:5" x14ac:dyDescent="0.25">
      <c r="A209" t="s">
        <v>221</v>
      </c>
      <c r="B209" t="s">
        <v>213</v>
      </c>
      <c r="C209" t="s">
        <v>106</v>
      </c>
      <c r="D209" t="s">
        <v>131</v>
      </c>
      <c r="E209" s="19"/>
    </row>
    <row r="210" spans="1:5" x14ac:dyDescent="0.25">
      <c r="A210" t="s">
        <v>221</v>
      </c>
      <c r="B210" t="s">
        <v>218</v>
      </c>
      <c r="C210" t="s">
        <v>2</v>
      </c>
      <c r="D210" t="s">
        <v>131</v>
      </c>
    </row>
    <row r="211" spans="1:5" x14ac:dyDescent="0.25">
      <c r="A211" t="s">
        <v>221</v>
      </c>
      <c r="B211" t="s">
        <v>219</v>
      </c>
      <c r="C211" t="s">
        <v>2</v>
      </c>
      <c r="D211" t="s">
        <v>131</v>
      </c>
    </row>
    <row r="212" spans="1:5" x14ac:dyDescent="0.25">
      <c r="A212" t="s">
        <v>221</v>
      </c>
      <c r="B212" t="s">
        <v>220</v>
      </c>
      <c r="C212" t="s">
        <v>2</v>
      </c>
      <c r="D212" t="s">
        <v>131</v>
      </c>
    </row>
    <row r="213" spans="1:5" x14ac:dyDescent="0.25">
      <c r="A213" t="s">
        <v>221</v>
      </c>
      <c r="B213" t="s">
        <v>214</v>
      </c>
      <c r="C213" t="s">
        <v>106</v>
      </c>
      <c r="D213" t="s">
        <v>131</v>
      </c>
    </row>
    <row r="214" spans="1:5" x14ac:dyDescent="0.25">
      <c r="A214" t="s">
        <v>221</v>
      </c>
      <c r="B214" t="s">
        <v>215</v>
      </c>
      <c r="C214" t="s">
        <v>106</v>
      </c>
      <c r="D214" t="s">
        <v>131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H67"/>
  <sheetViews>
    <sheetView topLeftCell="A31" workbookViewId="0">
      <selection activeCell="A18" sqref="A18:XFD18"/>
    </sheetView>
  </sheetViews>
  <sheetFormatPr baseColWidth="10" defaultColWidth="9.140625" defaultRowHeight="15" x14ac:dyDescent="0.25"/>
  <cols>
    <col min="1" max="1" width="30.5703125" customWidth="1"/>
    <col min="2" max="2" width="11.7109375" customWidth="1"/>
    <col min="3" max="3" width="20.7109375" customWidth="1"/>
    <col min="4" max="4" width="10.28515625" bestFit="1" customWidth="1"/>
    <col min="5" max="5" width="13.42578125" bestFit="1" customWidth="1"/>
    <col min="6" max="6" width="14.85546875" bestFit="1" customWidth="1"/>
    <col min="8" max="8" width="18.5703125" customWidth="1"/>
    <col min="9" max="9" width="1.7109375" customWidth="1"/>
    <col min="10" max="10" width="10.5703125" customWidth="1"/>
  </cols>
  <sheetData>
    <row r="2" spans="1:8" ht="40.700000000000003" customHeight="1" x14ac:dyDescent="0.25">
      <c r="A2" s="6" t="s">
        <v>54</v>
      </c>
      <c r="B2" s="8" t="s">
        <v>56</v>
      </c>
      <c r="C2" s="8" t="s">
        <v>55</v>
      </c>
      <c r="D2" s="7" t="s">
        <v>224</v>
      </c>
      <c r="E2" s="7"/>
      <c r="F2" s="7"/>
      <c r="G2" s="7"/>
      <c r="H2" s="7"/>
    </row>
    <row r="3" spans="1:8" x14ac:dyDescent="0.25">
      <c r="A3" t="s">
        <v>12</v>
      </c>
      <c r="C3" t="s">
        <v>12</v>
      </c>
    </row>
    <row r="4" spans="1:8" x14ac:dyDescent="0.25">
      <c r="A4" t="s">
        <v>185</v>
      </c>
    </row>
    <row r="5" spans="1:8" x14ac:dyDescent="0.25">
      <c r="A5" t="s">
        <v>177</v>
      </c>
    </row>
    <row r="6" spans="1:8" x14ac:dyDescent="0.25">
      <c r="A6" t="s">
        <v>176</v>
      </c>
    </row>
    <row r="7" spans="1:8" x14ac:dyDescent="0.25">
      <c r="A7" t="s">
        <v>173</v>
      </c>
    </row>
    <row r="8" spans="1:8" x14ac:dyDescent="0.25">
      <c r="A8" t="s">
        <v>172</v>
      </c>
    </row>
    <row r="9" spans="1:8" x14ac:dyDescent="0.25">
      <c r="A9" t="s">
        <v>178</v>
      </c>
    </row>
    <row r="10" spans="1:8" x14ac:dyDescent="0.25">
      <c r="A10" t="s">
        <v>174</v>
      </c>
    </row>
    <row r="11" spans="1:8" x14ac:dyDescent="0.25">
      <c r="A11" t="s">
        <v>175</v>
      </c>
    </row>
    <row r="12" spans="1:8" x14ac:dyDescent="0.25">
      <c r="A12" t="s">
        <v>226</v>
      </c>
    </row>
    <row r="13" spans="1:8" x14ac:dyDescent="0.25">
      <c r="A13" t="s">
        <v>227</v>
      </c>
    </row>
    <row r="14" spans="1:8" x14ac:dyDescent="0.25">
      <c r="A14" t="s">
        <v>229</v>
      </c>
    </row>
    <row r="15" spans="1:8" x14ac:dyDescent="0.25">
      <c r="A15" t="s">
        <v>228</v>
      </c>
    </row>
    <row r="16" spans="1:8" x14ac:dyDescent="0.25">
      <c r="A16" t="s">
        <v>230</v>
      </c>
    </row>
    <row r="17" spans="1:5" x14ac:dyDescent="0.25">
      <c r="A17" t="s">
        <v>231</v>
      </c>
    </row>
    <row r="18" spans="1:5" x14ac:dyDescent="0.25">
      <c r="A18" t="s">
        <v>232</v>
      </c>
    </row>
    <row r="19" spans="1:5" x14ac:dyDescent="0.25">
      <c r="A19" t="s">
        <v>152</v>
      </c>
      <c r="C19" t="s">
        <v>57</v>
      </c>
    </row>
    <row r="20" spans="1:5" x14ac:dyDescent="0.25">
      <c r="A20" t="s">
        <v>153</v>
      </c>
      <c r="C20" t="s">
        <v>58</v>
      </c>
    </row>
    <row r="21" spans="1:5" x14ac:dyDescent="0.25">
      <c r="A21" t="s">
        <v>154</v>
      </c>
      <c r="C21" t="s">
        <v>59</v>
      </c>
    </row>
    <row r="22" spans="1:5" x14ac:dyDescent="0.25">
      <c r="A22" t="s">
        <v>155</v>
      </c>
      <c r="C22" t="s">
        <v>60</v>
      </c>
    </row>
    <row r="23" spans="1:5" x14ac:dyDescent="0.25">
      <c r="A23" t="s">
        <v>156</v>
      </c>
      <c r="C23" t="s">
        <v>61</v>
      </c>
    </row>
    <row r="24" spans="1:5" x14ac:dyDescent="0.25">
      <c r="A24" t="s">
        <v>157</v>
      </c>
      <c r="C24" t="s">
        <v>62</v>
      </c>
    </row>
    <row r="25" spans="1:5" x14ac:dyDescent="0.25">
      <c r="A25" t="s">
        <v>158</v>
      </c>
      <c r="C25" t="s">
        <v>63</v>
      </c>
    </row>
    <row r="26" spans="1:5" x14ac:dyDescent="0.25">
      <c r="A26" t="s">
        <v>159</v>
      </c>
      <c r="C26" t="s">
        <v>64</v>
      </c>
    </row>
    <row r="27" spans="1:5" x14ac:dyDescent="0.25">
      <c r="A27" t="s">
        <v>38</v>
      </c>
      <c r="B27" s="3">
        <v>21000</v>
      </c>
      <c r="C27" t="s">
        <v>65</v>
      </c>
      <c r="D27">
        <v>24000</v>
      </c>
      <c r="E27" s="2"/>
    </row>
    <row r="28" spans="1:5" x14ac:dyDescent="0.25">
      <c r="A28" t="s">
        <v>39</v>
      </c>
      <c r="B28" s="4">
        <v>18000</v>
      </c>
      <c r="C28" t="s">
        <v>66</v>
      </c>
      <c r="D28">
        <v>20000</v>
      </c>
    </row>
    <row r="29" spans="1:5" x14ac:dyDescent="0.25">
      <c r="A29" t="s">
        <v>40</v>
      </c>
      <c r="B29" s="3">
        <v>38700</v>
      </c>
      <c r="C29" t="s">
        <v>67</v>
      </c>
      <c r="D29">
        <v>41000</v>
      </c>
    </row>
    <row r="30" spans="1:5" x14ac:dyDescent="0.25">
      <c r="A30" t="s">
        <v>41</v>
      </c>
      <c r="B30" s="5">
        <v>16500</v>
      </c>
      <c r="C30" t="s">
        <v>68</v>
      </c>
      <c r="D30">
        <v>18150</v>
      </c>
    </row>
    <row r="31" spans="1:5" x14ac:dyDescent="0.25">
      <c r="A31" t="s">
        <v>42</v>
      </c>
      <c r="B31" s="3">
        <v>18000</v>
      </c>
      <c r="C31" t="s">
        <v>69</v>
      </c>
      <c r="D31">
        <v>19800</v>
      </c>
    </row>
    <row r="32" spans="1:5" x14ac:dyDescent="0.25">
      <c r="A32" t="s">
        <v>43</v>
      </c>
      <c r="B32" s="3">
        <v>21750</v>
      </c>
      <c r="C32" t="s">
        <v>70</v>
      </c>
      <c r="D32">
        <v>23850</v>
      </c>
    </row>
    <row r="33" spans="1:4" x14ac:dyDescent="0.25">
      <c r="A33" t="s">
        <v>44</v>
      </c>
      <c r="B33" s="4">
        <v>24000</v>
      </c>
      <c r="C33" t="s">
        <v>71</v>
      </c>
      <c r="D33">
        <v>26400</v>
      </c>
    </row>
    <row r="34" spans="1:4" x14ac:dyDescent="0.25">
      <c r="A34" t="s">
        <v>45</v>
      </c>
      <c r="B34" s="3">
        <v>24000</v>
      </c>
      <c r="C34" t="s">
        <v>72</v>
      </c>
      <c r="D34">
        <v>26400</v>
      </c>
    </row>
    <row r="35" spans="1:4" ht="14.25" x14ac:dyDescent="0.25">
      <c r="A35" t="s">
        <v>46</v>
      </c>
      <c r="B35" s="3">
        <v>24000</v>
      </c>
      <c r="C35" t="s">
        <v>73</v>
      </c>
      <c r="D35">
        <v>26400</v>
      </c>
    </row>
    <row r="36" spans="1:4" ht="14.25" x14ac:dyDescent="0.25">
      <c r="A36" t="s">
        <v>47</v>
      </c>
      <c r="B36" s="3">
        <v>24000</v>
      </c>
      <c r="C36" t="s">
        <v>74</v>
      </c>
      <c r="D36">
        <v>26400</v>
      </c>
    </row>
    <row r="37" spans="1:4" ht="14.25" x14ac:dyDescent="0.25">
      <c r="A37" t="s">
        <v>48</v>
      </c>
      <c r="B37" s="4">
        <v>16200</v>
      </c>
      <c r="C37" t="s">
        <v>75</v>
      </c>
      <c r="D37">
        <v>17800</v>
      </c>
    </row>
    <row r="38" spans="1:4" x14ac:dyDescent="0.25">
      <c r="A38" t="s">
        <v>49</v>
      </c>
      <c r="B38" s="4">
        <v>24000</v>
      </c>
      <c r="C38" t="s">
        <v>76</v>
      </c>
      <c r="D38">
        <v>24000</v>
      </c>
    </row>
    <row r="39" spans="1:4" x14ac:dyDescent="0.25">
      <c r="A39" t="s">
        <v>50</v>
      </c>
      <c r="B39" s="3">
        <v>47200</v>
      </c>
      <c r="C39" t="s">
        <v>77</v>
      </c>
      <c r="D39">
        <v>51920</v>
      </c>
    </row>
    <row r="40" spans="1:4" x14ac:dyDescent="0.25">
      <c r="A40" t="s">
        <v>51</v>
      </c>
      <c r="B40" s="4">
        <v>30400</v>
      </c>
      <c r="C40" t="s">
        <v>78</v>
      </c>
      <c r="D40">
        <v>33440</v>
      </c>
    </row>
    <row r="41" spans="1:4" x14ac:dyDescent="0.25">
      <c r="A41" t="s">
        <v>52</v>
      </c>
      <c r="B41" s="4">
        <v>49500</v>
      </c>
      <c r="C41" t="s">
        <v>79</v>
      </c>
      <c r="D41">
        <v>54450</v>
      </c>
    </row>
    <row r="42" spans="1:4" x14ac:dyDescent="0.25">
      <c r="A42" t="s">
        <v>53</v>
      </c>
      <c r="B42" s="21">
        <v>49500</v>
      </c>
      <c r="C42" t="s">
        <v>80</v>
      </c>
      <c r="D42">
        <v>56100</v>
      </c>
    </row>
    <row r="43" spans="1:4" x14ac:dyDescent="0.25">
      <c r="A43" s="22" t="s">
        <v>119</v>
      </c>
      <c r="B43" s="20">
        <v>5500</v>
      </c>
      <c r="C43" t="s">
        <v>122</v>
      </c>
      <c r="D43">
        <v>5500</v>
      </c>
    </row>
    <row r="44" spans="1:4" x14ac:dyDescent="0.25">
      <c r="A44" s="22" t="s">
        <v>120</v>
      </c>
      <c r="B44" s="20">
        <v>3795</v>
      </c>
      <c r="C44" t="s">
        <v>123</v>
      </c>
      <c r="D44">
        <v>3500</v>
      </c>
    </row>
    <row r="45" spans="1:4" x14ac:dyDescent="0.25">
      <c r="A45" s="22" t="s">
        <v>118</v>
      </c>
      <c r="B45" s="20">
        <v>962</v>
      </c>
      <c r="C45" t="s">
        <v>124</v>
      </c>
      <c r="D45">
        <v>962</v>
      </c>
    </row>
    <row r="46" spans="1:4" x14ac:dyDescent="0.25">
      <c r="A46" s="22" t="s">
        <v>121</v>
      </c>
      <c r="B46" s="20">
        <v>2137</v>
      </c>
      <c r="C46" t="s">
        <v>125</v>
      </c>
      <c r="D46">
        <v>2200</v>
      </c>
    </row>
    <row r="47" spans="1:4" x14ac:dyDescent="0.25">
      <c r="A47" t="s">
        <v>160</v>
      </c>
      <c r="C47" t="s">
        <v>130</v>
      </c>
    </row>
    <row r="48" spans="1:4" x14ac:dyDescent="0.25">
      <c r="A48" t="s">
        <v>161</v>
      </c>
      <c r="C48" t="s">
        <v>129</v>
      </c>
    </row>
    <row r="49" spans="1:3" x14ac:dyDescent="0.25">
      <c r="A49" t="s">
        <v>162</v>
      </c>
      <c r="C49" t="s">
        <v>128</v>
      </c>
    </row>
    <row r="50" spans="1:3" x14ac:dyDescent="0.25">
      <c r="A50" t="s">
        <v>133</v>
      </c>
      <c r="B50">
        <v>49900</v>
      </c>
      <c r="C50" t="s">
        <v>200</v>
      </c>
    </row>
    <row r="51" spans="1:3" x14ac:dyDescent="0.25">
      <c r="A51" t="s">
        <v>181</v>
      </c>
      <c r="C51" t="s">
        <v>182</v>
      </c>
    </row>
    <row r="52" spans="1:3" x14ac:dyDescent="0.25">
      <c r="A52" t="s">
        <v>163</v>
      </c>
      <c r="C52" t="s">
        <v>141</v>
      </c>
    </row>
    <row r="53" spans="1:3" x14ac:dyDescent="0.25">
      <c r="A53" t="s">
        <v>132</v>
      </c>
      <c r="B53">
        <v>36000</v>
      </c>
      <c r="C53" t="s">
        <v>140</v>
      </c>
    </row>
    <row r="54" spans="1:3" x14ac:dyDescent="0.25">
      <c r="A54" t="s">
        <v>187</v>
      </c>
    </row>
    <row r="55" spans="1:3" x14ac:dyDescent="0.25">
      <c r="A55" t="s">
        <v>189</v>
      </c>
    </row>
    <row r="56" spans="1:3" x14ac:dyDescent="0.25">
      <c r="A56" t="s">
        <v>190</v>
      </c>
    </row>
    <row r="57" spans="1:3" x14ac:dyDescent="0.25">
      <c r="A57" t="s">
        <v>191</v>
      </c>
    </row>
    <row r="58" spans="1:3" x14ac:dyDescent="0.25">
      <c r="A58" t="s">
        <v>192</v>
      </c>
    </row>
    <row r="59" spans="1:3" x14ac:dyDescent="0.25">
      <c r="A59" t="s">
        <v>193</v>
      </c>
    </row>
    <row r="60" spans="1:3" x14ac:dyDescent="0.25">
      <c r="A60" t="s">
        <v>194</v>
      </c>
    </row>
    <row r="61" spans="1:3" x14ac:dyDescent="0.25">
      <c r="A61" t="s">
        <v>195</v>
      </c>
    </row>
    <row r="62" spans="1:3" x14ac:dyDescent="0.25">
      <c r="A62" t="s">
        <v>196</v>
      </c>
    </row>
    <row r="63" spans="1:3" x14ac:dyDescent="0.25">
      <c r="A63" t="s">
        <v>197</v>
      </c>
    </row>
    <row r="64" spans="1:3" x14ac:dyDescent="0.25">
      <c r="A64" t="s">
        <v>198</v>
      </c>
    </row>
    <row r="65" spans="1:1" x14ac:dyDescent="0.25">
      <c r="A65" t="s">
        <v>199</v>
      </c>
    </row>
    <row r="66" spans="1:1" x14ac:dyDescent="0.25">
      <c r="A66" t="s">
        <v>222</v>
      </c>
    </row>
    <row r="67" spans="1:1" x14ac:dyDescent="0.25">
      <c r="A67" t="s">
        <v>223</v>
      </c>
    </row>
  </sheetData>
  <pageMargins left="0.7" right="0.7" top="0.75" bottom="0.75" header="0.3" footer="0.3"/>
  <pageSetup paperSize="9" orientation="landscape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A61"/>
  <sheetViews>
    <sheetView workbookViewId="0">
      <pane ySplit="1" topLeftCell="A14" activePane="bottomLeft" state="frozen"/>
      <selection pane="bottomLeft" activeCell="X17" sqref="X17"/>
    </sheetView>
  </sheetViews>
  <sheetFormatPr baseColWidth="10" defaultColWidth="9.140625" defaultRowHeight="15" x14ac:dyDescent="0.25"/>
  <cols>
    <col min="1" max="1" width="11.7109375" customWidth="1"/>
    <col min="2" max="2" width="17.7109375" bestFit="1" customWidth="1"/>
    <col min="3" max="3" width="3.140625" customWidth="1"/>
    <col min="5" max="5" width="14.140625" customWidth="1"/>
    <col min="6" max="6" width="4.5703125" style="12" bestFit="1" customWidth="1"/>
    <col min="7" max="7" width="6.7109375" style="12" bestFit="1" customWidth="1"/>
    <col min="8" max="8" width="19.7109375" style="12" customWidth="1"/>
    <col min="9" max="9" width="2.42578125" customWidth="1"/>
    <col min="10" max="10" width="4.5703125" style="1" bestFit="1" customWidth="1"/>
    <col min="11" max="11" width="8.85546875" style="1" bestFit="1" customWidth="1"/>
    <col min="12" max="12" width="15.5703125" style="1" customWidth="1"/>
    <col min="13" max="13" width="2.85546875" customWidth="1"/>
    <col min="14" max="14" width="9" style="1" customWidth="1"/>
    <col min="15" max="15" width="42" style="1" customWidth="1"/>
    <col min="16" max="16" width="92.140625" style="1" bestFit="1" customWidth="1"/>
    <col min="17" max="17" width="2.7109375" hidden="1" customWidth="1"/>
    <col min="18" max="18" width="41.140625" style="1" customWidth="1"/>
    <col min="19" max="19" width="2.5703125" style="1" customWidth="1"/>
    <col min="20" max="20" width="61.85546875" bestFit="1" customWidth="1"/>
    <col min="21" max="21" width="2.85546875" customWidth="1"/>
    <col min="22" max="22" width="8.42578125" customWidth="1"/>
    <col min="23" max="23" width="23" customWidth="1"/>
    <col min="24" max="24" width="65.140625" customWidth="1"/>
    <col min="25" max="25" width="52.140625" customWidth="1"/>
    <col min="26" max="26" width="52" customWidth="1"/>
    <col min="27" max="27" width="2.7109375" customWidth="1"/>
    <col min="28" max="28" width="133.140625" bestFit="1" customWidth="1"/>
    <col min="29" max="29" width="134.140625" bestFit="1" customWidth="1"/>
    <col min="30" max="30" width="3.42578125" customWidth="1"/>
    <col min="31" max="31" width="38.42578125" customWidth="1"/>
    <col min="35" max="35" width="85.7109375" customWidth="1"/>
  </cols>
  <sheetData>
    <row r="1" spans="1:53" ht="57.2" x14ac:dyDescent="0.25">
      <c r="A1" s="8" t="s">
        <v>82</v>
      </c>
      <c r="B1" s="8" t="s">
        <v>55</v>
      </c>
      <c r="D1" s="8" t="s">
        <v>94</v>
      </c>
      <c r="E1" s="8" t="s">
        <v>143</v>
      </c>
      <c r="F1" s="8" t="s">
        <v>116</v>
      </c>
      <c r="G1" s="8" t="s">
        <v>84</v>
      </c>
      <c r="H1" s="8" t="s">
        <v>110</v>
      </c>
      <c r="J1" s="8" t="s">
        <v>116</v>
      </c>
      <c r="K1" s="8" t="s">
        <v>84</v>
      </c>
      <c r="L1" s="8" t="s">
        <v>90</v>
      </c>
      <c r="N1" s="8" t="s">
        <v>91</v>
      </c>
      <c r="O1" s="8" t="s">
        <v>85</v>
      </c>
      <c r="P1" s="8" t="s">
        <v>92</v>
      </c>
      <c r="R1" s="8" t="s">
        <v>142</v>
      </c>
      <c r="S1" s="8"/>
      <c r="T1" s="8" t="s">
        <v>81</v>
      </c>
      <c r="U1" s="8"/>
      <c r="V1" s="8" t="s">
        <v>99</v>
      </c>
      <c r="W1" s="8" t="s">
        <v>100</v>
      </c>
      <c r="X1" s="8" t="s">
        <v>150</v>
      </c>
      <c r="Y1" s="8" t="s">
        <v>149</v>
      </c>
      <c r="Z1" s="8" t="s">
        <v>148</v>
      </c>
      <c r="AB1" s="8" t="s">
        <v>147</v>
      </c>
      <c r="AC1" s="8" t="s">
        <v>146</v>
      </c>
      <c r="AE1" s="8" t="s">
        <v>145</v>
      </c>
      <c r="AI1" s="8" t="s">
        <v>144</v>
      </c>
      <c r="AJ1" s="8" t="s">
        <v>151</v>
      </c>
    </row>
    <row r="2" spans="1:53" ht="14.25" x14ac:dyDescent="0.25">
      <c r="A2">
        <v>1</v>
      </c>
      <c r="B2" t="str">
        <f>Elements!C3</f>
        <v>CCR</v>
      </c>
      <c r="D2">
        <v>1</v>
      </c>
      <c r="E2">
        <v>1</v>
      </c>
      <c r="F2" s="12">
        <v>0</v>
      </c>
      <c r="G2" s="12" t="s">
        <v>126</v>
      </c>
      <c r="H2" s="10" t="str">
        <f>CONCATENATE("INSERT INTO cscadaeventsubtypes VALUES (",F2,",'",G2,"');")</f>
        <v>INSERT INTO cscadaeventsubtypes VALUES (0,'silence');</v>
      </c>
      <c r="I2" t="s">
        <v>83</v>
      </c>
      <c r="J2" s="1">
        <v>1</v>
      </c>
      <c r="K2" s="1" t="s">
        <v>86</v>
      </c>
      <c r="L2" s="10" t="str">
        <f>CONCATENATE("INSERT INTO cscadaeventtypes VALUES (",J2,",'",K2,"');")</f>
        <v>INSERT INTO cscadaeventtypes VALUES (1,'INFO');</v>
      </c>
      <c r="M2" t="s">
        <v>83</v>
      </c>
      <c r="N2" s="1">
        <v>1</v>
      </c>
      <c r="O2" s="10" t="s">
        <v>95</v>
      </c>
      <c r="P2" s="10" t="str">
        <f>CONCATENATE("INSERT INTO cscadaeventtexts VALUES (",N2,",'",O2,"');")</f>
        <v>INSERT INTO cscadaeventtexts VALUES (1,'Setpoint %1 kW received from CECOEL');</v>
      </c>
      <c r="Q2" t="s">
        <v>83</v>
      </c>
      <c r="R2" s="1">
        <v>1</v>
      </c>
      <c r="T2" s="9" t="str">
        <f t="shared" ref="T2:T31" si="0">CONCATENATE("INSERT INTO cscadaeventsources VALUES (",A2,",'",B2,"');")</f>
        <v>INSERT INTO cscadaeventsources VALUES (1,'CCR');</v>
      </c>
      <c r="U2" s="9" t="s">
        <v>83</v>
      </c>
      <c r="X2" t="str">
        <f>CONCATENATE("INSERT INTO cscadaeventrules VALUES (",$R2+6000,",'",Elements!$A3,"_CECOELSetpointMotive','",Elements!$A3,".CECOELSetpointMotive","&gt;0',",$D$3,",",$J$6,",",$N$9,",",$A2,",1,0",",1);")</f>
        <v>INSERT INTO cscadaeventrules VALUES (6001,'CCR_CECOELSetpointMotive','CCR.CECOELSetpointMotive&gt;0',0,5,8,1,1,0,1);</v>
      </c>
      <c r="Y2" t="str">
        <f>CONCATENATE("INSERT INTO cscadaeventrules VALUES (",$R2+7000,",'",Elements!$A3,"_CECORESetpointMotive','",Elements!$A3,".CECORESetpointMotive","&gt;0',",$D$3,",",$J$6,",",$N$10,",",$A2,",1,0",",1);")</f>
        <v>INSERT INTO cscadaeventrules VALUES (7001,'CCR_CECORESetpointMotive','CCR.CECORESetpointMotive&gt;0',0,5,9,1,1,0,1);</v>
      </c>
      <c r="Z2" t="str">
        <f>CONCATENATE("INSERT INTO cscadaeventrules VALUES (",$R2+8000,",'",Elements!$A3,"_CECOELSetpointMotive','",Elements!$A3,".CECOELSetpointMotive","==0',",$D$3,",",$J$6,",",$N$11,",",$A2,",0,0",",5);")</f>
        <v>INSERT INTO cscadaeventrules VALUES (8001,'CCR_CECOELSetpointMotive','CCR.CECOELSetpointMotive==0',0,5,10,1,0,0,5);</v>
      </c>
      <c r="AA2" t="s">
        <v>83</v>
      </c>
      <c r="AD2" t="s">
        <v>83</v>
      </c>
      <c r="AI2" t="str">
        <f>CONCATENATE("INSERT INTO cscadaeventrules VALUES (",$R2+5000,",'",Elements!$A3,"_CECOREActive','",Elements!$A3,".RoleApplied","==1',",$D$3,",",$J$2,",",$N$8,",",$A2,",1,0);")</f>
        <v>INSERT INTO cscadaeventrules VALUES (5001,'CCR_CECOREActive','CCR.RoleApplied==1',0,1,7,1,1,0);</v>
      </c>
      <c r="AJ2" s="11" t="str">
        <f>CONCATENATE("INSERT INTO cscadaeventrules VALUES (",$R2+9001,",'",Elements!$A3,"_CECOELActive','",Elements!$A3,".RoleApplied","==0',",$D$2,",",$J$2,",",$N$7,",",$A2,",",E3,",0,0);")</f>
        <v>INSERT INTO cscadaeventrules VALUES (9002,'CCR_CECOELActive','CCR.RoleApplied==0',1,1,6,1,0,0,0);</v>
      </c>
      <c r="AK2" s="11"/>
      <c r="AL2" s="11"/>
      <c r="AM2" s="11"/>
      <c r="AN2" s="11"/>
      <c r="AO2" s="11"/>
      <c r="AP2" s="11"/>
      <c r="AQ2" s="11"/>
      <c r="AR2" s="11"/>
    </row>
    <row r="3" spans="1:53" x14ac:dyDescent="0.25">
      <c r="A3">
        <v>2</v>
      </c>
      <c r="B3" t="e">
        <f>Elements!#REF!</f>
        <v>#REF!</v>
      </c>
      <c r="D3">
        <v>0</v>
      </c>
      <c r="E3">
        <v>0</v>
      </c>
      <c r="F3" s="12">
        <v>1</v>
      </c>
      <c r="G3" s="12" t="s">
        <v>111</v>
      </c>
      <c r="H3" s="10" t="str">
        <f>CONCATENATE("INSERT INTO cscadaeventsubtypes VALUES (",F3,",'",G3,"');")</f>
        <v>INSERT INTO cscadaeventsubtypes VALUES (1,'sound1');</v>
      </c>
      <c r="I3" t="s">
        <v>83</v>
      </c>
      <c r="J3" s="1">
        <v>2</v>
      </c>
      <c r="K3" s="1" t="s">
        <v>87</v>
      </c>
      <c r="L3" s="10" t="str">
        <f t="shared" ref="L3:L6" si="1">CONCATENATE("INSERT INTO cscadaeventtypes VALUES (",J3,",'",K3,"');")</f>
        <v>INSERT INTO cscadaeventtypes VALUES (2,'ERROR');</v>
      </c>
      <c r="M3" t="s">
        <v>83</v>
      </c>
      <c r="N3" s="1">
        <v>2</v>
      </c>
      <c r="O3" s="10" t="s">
        <v>96</v>
      </c>
      <c r="P3" s="10" t="str">
        <f t="shared" ref="P3:P11" si="2">CONCATENATE("INSERT INTO cscadaeventtexts VALUES (",N3,",'",O3,"');")</f>
        <v>INSERT INTO cscadaeventtexts VALUES (2,'Setpoint %1 kW received from CECORE');</v>
      </c>
      <c r="Q3" t="s">
        <v>83</v>
      </c>
      <c r="R3" s="1">
        <v>2</v>
      </c>
      <c r="T3" s="9" t="e">
        <f t="shared" si="0"/>
        <v>#REF!</v>
      </c>
      <c r="U3" s="9" t="s">
        <v>83</v>
      </c>
      <c r="AA3" t="s">
        <v>83</v>
      </c>
      <c r="AF3" t="s">
        <v>83</v>
      </c>
      <c r="AJ3" s="11" t="s">
        <v>103</v>
      </c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</row>
    <row r="4" spans="1:53" ht="14.25" x14ac:dyDescent="0.25">
      <c r="A4">
        <v>3</v>
      </c>
      <c r="B4" t="str">
        <f>Elements!C19</f>
        <v>NU Facinas</v>
      </c>
      <c r="D4" t="s">
        <v>83</v>
      </c>
      <c r="E4" t="s">
        <v>83</v>
      </c>
      <c r="F4" s="12">
        <v>2</v>
      </c>
      <c r="G4" s="12" t="s">
        <v>112</v>
      </c>
      <c r="H4" s="10" t="str">
        <f t="shared" ref="H4:H7" si="3">CONCATENATE("INSERT INTO cscadaeventsubtypes VALUES (",F4,",'",G4,"');")</f>
        <v>INSERT INTO cscadaeventsubtypes VALUES (2,'sound2');</v>
      </c>
      <c r="I4" t="s">
        <v>83</v>
      </c>
      <c r="J4" s="1">
        <v>3</v>
      </c>
      <c r="K4" s="1" t="s">
        <v>88</v>
      </c>
      <c r="L4" s="10" t="str">
        <f t="shared" si="1"/>
        <v>INSERT INTO cscadaeventtypes VALUES (3,'ALARM');</v>
      </c>
      <c r="M4" t="s">
        <v>83</v>
      </c>
      <c r="N4" s="1">
        <v>3</v>
      </c>
      <c r="O4" s="10" t="s">
        <v>97</v>
      </c>
      <c r="P4" s="10" t="str">
        <f t="shared" si="2"/>
        <v>INSERT INTO cscadaeventtexts VALUES (3,'Unknown status of grid connection');</v>
      </c>
      <c r="Q4" t="s">
        <v>83</v>
      </c>
      <c r="R4" s="1">
        <v>3</v>
      </c>
      <c r="T4" s="9" t="str">
        <f t="shared" si="0"/>
        <v>INSERT INTO cscadaeventsources VALUES (3,'NU Facinas');</v>
      </c>
      <c r="U4" s="9" t="s">
        <v>83</v>
      </c>
      <c r="X4" t="str">
        <f>CONCATENATE("INSERT INTO cscadaeventrules VALUES (",$R4+6000,",'",Elements!$A19,"_CECOELSetpointMotive','",Elements!$A19,".CECOELSetpointMotive","&gt;0',",$D$3,",",$J$6,",",$N$9,",",$A4,",1,0",",1);")</f>
        <v>INSERT INTO cscadaeventrules VALUES (6003,'NODE_Facinas_CECOELSetpointMotive','NODE_Facinas.CECOELSetpointMotive&gt;0',0,5,8,3,1,0,1);</v>
      </c>
      <c r="Y4" t="str">
        <f>CONCATENATE("INSERT INTO cscadaeventrules VALUES (",$R4+7000,",'",Elements!$A19,"_CECORESetpointMotive','",Elements!$A19,".CECORESetpointMotive","&gt;0',",$D$3,",",$J$6,",",$N$10,",",$A4,",1,0",",1);")</f>
        <v>INSERT INTO cscadaeventrules VALUES (7003,'NODE_Facinas_CECORESetpointMotive','NODE_Facinas.CECORESetpointMotive&gt;0',0,5,9,3,1,0,1);</v>
      </c>
      <c r="Z4" t="str">
        <f>CONCATENATE("INSERT INTO cscadaeventrules VALUES (",$R4+8000,",'",Elements!$A19,"_CECOELSetpointMotive','",Elements!$A19,".CECOELSetpointMotive","==0',",$D$3,",",$J$6,",",$N$11,",",$A4,",0,0",",5);")</f>
        <v>INSERT INTO cscadaeventrules VALUES (8003,'NODE_Facinas_CECOELSetpointMotive','NODE_Facinas.CECOELSetpointMotive==0',0,5,10,3,0,0,5);</v>
      </c>
      <c r="AA4" t="s">
        <v>83</v>
      </c>
      <c r="AD4" t="s">
        <v>83</v>
      </c>
      <c r="AF4" t="s">
        <v>83</v>
      </c>
    </row>
    <row r="5" spans="1:53" ht="14.25" x14ac:dyDescent="0.25">
      <c r="A5">
        <v>4</v>
      </c>
      <c r="B5" t="str">
        <f>Elements!C20</f>
        <v>NU Gurrea</v>
      </c>
      <c r="D5" t="s">
        <v>83</v>
      </c>
      <c r="E5" t="s">
        <v>83</v>
      </c>
      <c r="F5" s="12">
        <v>3</v>
      </c>
      <c r="G5" s="12" t="s">
        <v>113</v>
      </c>
      <c r="H5" s="10" t="str">
        <f t="shared" si="3"/>
        <v>INSERT INTO cscadaeventsubtypes VALUES (3,'sound3');</v>
      </c>
      <c r="I5" t="s">
        <v>83</v>
      </c>
      <c r="J5" s="1">
        <v>4</v>
      </c>
      <c r="K5" s="1" t="s">
        <v>89</v>
      </c>
      <c r="L5" s="10" t="str">
        <f t="shared" si="1"/>
        <v>INSERT INTO cscadaeventtypes VALUES (4,'COMM');</v>
      </c>
      <c r="M5" t="s">
        <v>83</v>
      </c>
      <c r="N5" s="1">
        <v>4</v>
      </c>
      <c r="O5" s="10" t="s">
        <v>93</v>
      </c>
      <c r="P5" s="10" t="str">
        <f t="shared" si="2"/>
        <v>INSERT INTO cscadaeventtexts VALUES (4,'Disconnected from grid');</v>
      </c>
      <c r="Q5" t="s">
        <v>83</v>
      </c>
      <c r="R5" s="1">
        <v>4</v>
      </c>
      <c r="T5" s="9" t="str">
        <f t="shared" si="0"/>
        <v>INSERT INTO cscadaeventsources VALUES (4,'NU Gurrea');</v>
      </c>
      <c r="U5" s="9" t="s">
        <v>83</v>
      </c>
      <c r="X5" t="str">
        <f>CONCATENATE("INSERT INTO cscadaeventrules VALUES (",$R5+6000,",'",Elements!$A20,"_CECOELSetpointMotive','",Elements!$A20,".CECOELSetpointMotive","&gt;0',",$D$3,",",$J$6,",",$N$9,",",$A5,",1,0",",1);")</f>
        <v>INSERT INTO cscadaeventrules VALUES (6004,'NODE_Gurrea_CECOELSetpointMotive','NODE_Gurrea.CECOELSetpointMotive&gt;0',0,5,8,4,1,0,1);</v>
      </c>
      <c r="Y5" t="str">
        <f>CONCATENATE("INSERT INTO cscadaeventrules VALUES (",$R5+7000,",'",Elements!$A20,"_CECORESetpointMotive','",Elements!$A20,".CECORESetpointMotive","&gt;0',",$D$3,",",$J$6,",",$N$10,",",$A5,",1,0",",1);")</f>
        <v>INSERT INTO cscadaeventrules VALUES (7004,'NODE_Gurrea_CECORESetpointMotive','NODE_Gurrea.CECORESetpointMotive&gt;0',0,5,9,4,1,0,1);</v>
      </c>
      <c r="Z5" t="str">
        <f>CONCATENATE("INSERT INTO cscadaeventrules VALUES (",$R5+8000,",'",Elements!$A20,"_CECOELSetpointMotive','",Elements!$A20,".CECOELSetpointMotive","==0',",$D$3,",",$J$6,",",$N$11,",",$A5,",0,0",",5);")</f>
        <v>INSERT INTO cscadaeventrules VALUES (8004,'NODE_Gurrea_CECOELSetpointMotive','NODE_Gurrea.CECOELSetpointMotive==0',0,5,10,4,0,0,5);</v>
      </c>
      <c r="AA5" t="s">
        <v>83</v>
      </c>
      <c r="AD5" t="s">
        <v>83</v>
      </c>
      <c r="AF5" t="s">
        <v>83</v>
      </c>
    </row>
    <row r="6" spans="1:53" ht="14.25" x14ac:dyDescent="0.25">
      <c r="A6">
        <v>5</v>
      </c>
      <c r="B6" t="str">
        <f>Elements!C21</f>
        <v>NU LanzasAgudas</v>
      </c>
      <c r="D6" t="s">
        <v>83</v>
      </c>
      <c r="E6" t="s">
        <v>83</v>
      </c>
      <c r="F6" s="12">
        <v>4</v>
      </c>
      <c r="G6" s="12" t="s">
        <v>114</v>
      </c>
      <c r="H6" s="10" t="str">
        <f t="shared" si="3"/>
        <v>INSERT INTO cscadaeventsubtypes VALUES (4,'sound4');</v>
      </c>
      <c r="I6" t="s">
        <v>83</v>
      </c>
      <c r="J6" s="1">
        <v>5</v>
      </c>
      <c r="K6" s="1" t="s">
        <v>109</v>
      </c>
      <c r="L6" s="10" t="str">
        <f t="shared" si="1"/>
        <v>INSERT INTO cscadaeventtypes VALUES (5,'SETPOINT');</v>
      </c>
      <c r="M6" t="s">
        <v>83</v>
      </c>
      <c r="N6" s="1">
        <v>5</v>
      </c>
      <c r="O6" s="10" t="s">
        <v>98</v>
      </c>
      <c r="P6" s="10" t="str">
        <f t="shared" si="2"/>
        <v>INSERT INTO cscadaeventtexts VALUES (5,'Communication error');</v>
      </c>
      <c r="Q6" t="s">
        <v>83</v>
      </c>
      <c r="R6" s="1">
        <v>5</v>
      </c>
      <c r="T6" s="9" t="str">
        <f t="shared" si="0"/>
        <v>INSERT INTO cscadaeventsources VALUES (5,'NU LanzasAgudas');</v>
      </c>
      <c r="U6" s="9" t="s">
        <v>83</v>
      </c>
      <c r="X6" t="str">
        <f>CONCATENATE("INSERT INTO cscadaeventrules VALUES (",$R6+6000,",'",Elements!$A21,"_CECOELSetpointMotive','",Elements!$A21,".CECOELSetpointMotive","&gt;0',",$D$3,",",$J$6,",",$N$9,",",$A6,",1,0",",1);")</f>
        <v>INSERT INTO cscadaeventrules VALUES (6005,'NODE_LanzasAgudas_CECOELSetpointMotive','NODE_LanzasAgudas.CECOELSetpointMotive&gt;0',0,5,8,5,1,0,1);</v>
      </c>
      <c r="Y6" t="str">
        <f>CONCATENATE("INSERT INTO cscadaeventrules VALUES (",$R6+7000,",'",Elements!$A21,"_CECORESetpointMotive','",Elements!$A21,".CECORESetpointMotive","&gt;0',",$D$3,",",$J$6,",",$N$10,",",$A6,",1,0",",1);")</f>
        <v>INSERT INTO cscadaeventrules VALUES (7005,'NODE_LanzasAgudas_CECORESetpointMotive','NODE_LanzasAgudas.CECORESetpointMotive&gt;0',0,5,9,5,1,0,1);</v>
      </c>
      <c r="Z6" t="str">
        <f>CONCATENATE("INSERT INTO cscadaeventrules VALUES (",$R6+8000,",'",Elements!$A21,"_CECOELSetpointMotive','",Elements!$A21,".CECOELSetpointMotive","==0',",$D$3,",",$J$6,",",$N$11,",",$A6,",0,0",",5);")</f>
        <v>INSERT INTO cscadaeventrules VALUES (8005,'NODE_LanzasAgudas_CECOELSetpointMotive','NODE_LanzasAgudas.CECOELSetpointMotive==0',0,5,10,5,0,0,5);</v>
      </c>
      <c r="AA6" t="s">
        <v>83</v>
      </c>
      <c r="AD6" t="s">
        <v>83</v>
      </c>
      <c r="AF6" t="s">
        <v>83</v>
      </c>
    </row>
    <row r="7" spans="1:53" ht="14.25" x14ac:dyDescent="0.25">
      <c r="A7">
        <v>6</v>
      </c>
      <c r="B7" t="str">
        <f>Elements!C22</f>
        <v>NU Maria</v>
      </c>
      <c r="D7" t="s">
        <v>83</v>
      </c>
      <c r="E7" t="s">
        <v>83</v>
      </c>
      <c r="F7" s="12">
        <v>5</v>
      </c>
      <c r="G7" s="12" t="s">
        <v>115</v>
      </c>
      <c r="H7" s="10" t="str">
        <f t="shared" si="3"/>
        <v>INSERT INTO cscadaeventsubtypes VALUES (5,'sound5');</v>
      </c>
      <c r="I7" t="s">
        <v>83</v>
      </c>
      <c r="L7" s="1" t="s">
        <v>83</v>
      </c>
      <c r="M7" t="s">
        <v>83</v>
      </c>
      <c r="N7" s="1">
        <v>6</v>
      </c>
      <c r="O7" s="10" t="s">
        <v>102</v>
      </c>
      <c r="P7" s="10" t="str">
        <f t="shared" si="2"/>
        <v>INSERT INTO cscadaeventtexts VALUES (6,'Role CECOEL active');</v>
      </c>
      <c r="Q7" t="s">
        <v>83</v>
      </c>
      <c r="R7" s="1">
        <v>6</v>
      </c>
      <c r="T7" s="9" t="str">
        <f t="shared" si="0"/>
        <v>INSERT INTO cscadaeventsources VALUES (6,'NU Maria');</v>
      </c>
      <c r="U7" s="9" t="s">
        <v>83</v>
      </c>
      <c r="X7" t="str">
        <f>CONCATENATE("INSERT INTO cscadaeventrules VALUES (",$R7+6000,",'",Elements!$A22,"_CECOELSetpointMotive','",Elements!$A22,".CECOELSetpointMotive","&gt;0',",$D$3,",",$J$6,",",$N$9,",",$A7,",1,0",",1);")</f>
        <v>INSERT INTO cscadaeventrules VALUES (6006,'NODE_Maria_CECOELSetpointMotive','NODE_Maria.CECOELSetpointMotive&gt;0',0,5,8,6,1,0,1);</v>
      </c>
      <c r="Y7" t="str">
        <f>CONCATENATE("INSERT INTO cscadaeventrules VALUES (",$R7+7000,",'",Elements!$A22,"_CECORESetpointMotive','",Elements!$A22,".CECORESetpointMotive","&gt;0',",$D$3,",",$J$6,",",$N$10,",",$A7,",1,0",",1);")</f>
        <v>INSERT INTO cscadaeventrules VALUES (7006,'NODE_Maria_CECORESetpointMotive','NODE_Maria.CECORESetpointMotive&gt;0',0,5,9,6,1,0,1);</v>
      </c>
      <c r="Z7" t="str">
        <f>CONCATENATE("INSERT INTO cscadaeventrules VALUES (",$R7+8000,",'",Elements!$A22,"_CECOELSetpointMotive','",Elements!$A22,".CECOELSetpointMotive","==0',",$D$3,",",$J$6,",",$N$11,",",$A7,",0,0",",5);")</f>
        <v>INSERT INTO cscadaeventrules VALUES (8006,'NODE_Maria_CECOELSetpointMotive','NODE_Maria.CECOELSetpointMotive==0',0,5,10,6,0,0,5);</v>
      </c>
      <c r="AA7" t="s">
        <v>83</v>
      </c>
      <c r="AD7" t="s">
        <v>83</v>
      </c>
      <c r="AF7" t="s">
        <v>83</v>
      </c>
    </row>
    <row r="8" spans="1:53" ht="14.25" x14ac:dyDescent="0.25">
      <c r="A8">
        <v>7</v>
      </c>
      <c r="B8" t="str">
        <f>Elements!C23</f>
        <v>NU MonteTorrero</v>
      </c>
      <c r="D8" t="s">
        <v>83</v>
      </c>
      <c r="E8" t="s">
        <v>83</v>
      </c>
      <c r="I8" t="s">
        <v>83</v>
      </c>
      <c r="L8" s="1" t="s">
        <v>83</v>
      </c>
      <c r="M8" t="s">
        <v>83</v>
      </c>
      <c r="N8" s="1">
        <v>7</v>
      </c>
      <c r="O8" s="10" t="s">
        <v>101</v>
      </c>
      <c r="P8" s="10" t="str">
        <f t="shared" si="2"/>
        <v>INSERT INTO cscadaeventtexts VALUES (7,'Role CECORE active');</v>
      </c>
      <c r="Q8" t="s">
        <v>83</v>
      </c>
      <c r="R8" s="1">
        <v>7</v>
      </c>
      <c r="T8" s="9" t="str">
        <f t="shared" si="0"/>
        <v>INSERT INTO cscadaeventsources VALUES (7,'NU MonteTorrero');</v>
      </c>
      <c r="U8" s="9" t="s">
        <v>83</v>
      </c>
      <c r="X8" t="str">
        <f>CONCATENATE("INSERT INTO cscadaeventrules VALUES (",$R8+6000,",'",Elements!$A23,"_CECOELSetpointMotive','",Elements!$A23,".CECOELSetpointMotive","&gt;0',",$D$3,",",$J$6,",",$N$9,",",$A8,",1,0",",1);")</f>
        <v>INSERT INTO cscadaeventrules VALUES (6007,'NODE_MonteTorrero_CECOELSetpointMotive','NODE_MonteTorrero.CECOELSetpointMotive&gt;0',0,5,8,7,1,0,1);</v>
      </c>
      <c r="Y8" t="str">
        <f>CONCATENATE("INSERT INTO cscadaeventrules VALUES (",$R8+7000,",'",Elements!$A23,"_CECORESetpointMotive','",Elements!$A23,".CECORESetpointMotive","&gt;0',",$D$3,",",$J$6,",",$N$10,",",$A8,",1,0",",1);")</f>
        <v>INSERT INTO cscadaeventrules VALUES (7007,'NODE_MonteTorrero_CECORESetpointMotive','NODE_MonteTorrero.CECORESetpointMotive&gt;0',0,5,9,7,1,0,1);</v>
      </c>
      <c r="Z8" t="str">
        <f>CONCATENATE("INSERT INTO cscadaeventrules VALUES (",$R8+8000,",'",Elements!$A23,"_CECOELSetpointMotive','",Elements!$A23,".CECOELSetpointMotive","==0',",$D$3,",",$J$6,",",$N$11,",",$A8,",0,0",",5);")</f>
        <v>INSERT INTO cscadaeventrules VALUES (8007,'NODE_MonteTorrero_CECOELSetpointMotive','NODE_MonteTorrero.CECOELSetpointMotive==0',0,5,10,7,0,0,5);</v>
      </c>
      <c r="AA8" t="s">
        <v>83</v>
      </c>
      <c r="AD8" t="s">
        <v>83</v>
      </c>
      <c r="AF8" t="s">
        <v>83</v>
      </c>
    </row>
    <row r="9" spans="1:53" ht="14.25" x14ac:dyDescent="0.25">
      <c r="A9">
        <v>8</v>
      </c>
      <c r="B9" t="str">
        <f>Elements!C24</f>
        <v>NU Olmedilla</v>
      </c>
      <c r="D9" t="s">
        <v>83</v>
      </c>
      <c r="E9" t="s">
        <v>83</v>
      </c>
      <c r="I9" t="s">
        <v>83</v>
      </c>
      <c r="L9" s="1" t="s">
        <v>83</v>
      </c>
      <c r="M9" t="s">
        <v>83</v>
      </c>
      <c r="N9" s="1">
        <v>8</v>
      </c>
      <c r="O9" s="10" t="s">
        <v>107</v>
      </c>
      <c r="P9" s="10" t="str">
        <f t="shared" si="2"/>
        <v>INSERT INTO cscadaeventtexts VALUES (8,'Regulation active with motive %1 received from CECOEL');</v>
      </c>
      <c r="Q9" t="s">
        <v>83</v>
      </c>
      <c r="R9" s="1">
        <v>8</v>
      </c>
      <c r="T9" s="9" t="str">
        <f t="shared" si="0"/>
        <v>INSERT INTO cscadaeventsources VALUES (8,'NU Olmedilla');</v>
      </c>
      <c r="U9" s="9" t="s">
        <v>83</v>
      </c>
      <c r="X9" t="str">
        <f>CONCATENATE("INSERT INTO cscadaeventrules VALUES (",$R9+6000,",'",Elements!$A24,"_CECOELSetpointMotive','",Elements!$A24,".CECOELSetpointMotive","&gt;0',",$D$3,",",$J$6,",",$N$9,",",$A9,",1,0",",1);")</f>
        <v>INSERT INTO cscadaeventrules VALUES (6008,'NODE_Olmedilla_CECOELSetpointMotive','NODE_Olmedilla.CECOELSetpointMotive&gt;0',0,5,8,8,1,0,1);</v>
      </c>
      <c r="Y9" t="str">
        <f>CONCATENATE("INSERT INTO cscadaeventrules VALUES (",$R9+7000,",'",Elements!$A24,"_CECORESetpointMotive','",Elements!$A24,".CECORESetpointMotive","&gt;0',",$D$3,",",$J$6,",",$N$10,",",$A9,",1,0",",1);")</f>
        <v>INSERT INTO cscadaeventrules VALUES (7008,'NODE_Olmedilla_CECORESetpointMotive','NODE_Olmedilla.CECORESetpointMotive&gt;0',0,5,9,8,1,0,1);</v>
      </c>
      <c r="Z9" t="str">
        <f>CONCATENATE("INSERT INTO cscadaeventrules VALUES (",$R9+8000,",'",Elements!$A24,"_CECOELSetpointMotive','",Elements!$A24,".CECOELSetpointMotive","==0',",$D$3,",",$J$6,",",$N$11,",",$A9,",0,0",",5);")</f>
        <v>INSERT INTO cscadaeventrules VALUES (8008,'NODE_Olmedilla_CECOELSetpointMotive','NODE_Olmedilla.CECOELSetpointMotive==0',0,5,10,8,0,0,5);</v>
      </c>
      <c r="AA9" t="s">
        <v>83</v>
      </c>
      <c r="AD9" t="s">
        <v>83</v>
      </c>
      <c r="AF9" t="s">
        <v>83</v>
      </c>
    </row>
    <row r="10" spans="1:53" ht="14.25" x14ac:dyDescent="0.25">
      <c r="A10">
        <v>9</v>
      </c>
      <c r="B10" t="str">
        <f>Elements!C25</f>
        <v>NU Oncala</v>
      </c>
      <c r="D10" t="s">
        <v>83</v>
      </c>
      <c r="E10" t="s">
        <v>83</v>
      </c>
      <c r="I10" t="s">
        <v>83</v>
      </c>
      <c r="L10" s="1" t="s">
        <v>83</v>
      </c>
      <c r="M10" t="s">
        <v>83</v>
      </c>
      <c r="N10" s="1">
        <v>9</v>
      </c>
      <c r="O10" s="10" t="s">
        <v>108</v>
      </c>
      <c r="P10" s="10" t="str">
        <f t="shared" si="2"/>
        <v>INSERT INTO cscadaeventtexts VALUES (9,'Regulation active with motive %1 received from CECORE');</v>
      </c>
      <c r="Q10" t="s">
        <v>83</v>
      </c>
      <c r="R10" s="1">
        <v>9</v>
      </c>
      <c r="T10" s="9" t="str">
        <f t="shared" si="0"/>
        <v>INSERT INTO cscadaeventsources VALUES (9,'NU Oncala');</v>
      </c>
      <c r="U10" s="9" t="s">
        <v>83</v>
      </c>
      <c r="X10" t="str">
        <f>CONCATENATE("INSERT INTO cscadaeventrules VALUES (",$R10+6000,",'",Elements!$A25,"_CECOELSetpointMotive','",Elements!$A25,".CECOELSetpointMotive","&gt;0',",$D$3,",",$J$6,",",$N$9,",",$A10,",1,0",",1);")</f>
        <v>INSERT INTO cscadaeventrules VALUES (6009,'NODE_Oncala_CECOELSetpointMotive','NODE_Oncala.CECOELSetpointMotive&gt;0',0,5,8,9,1,0,1);</v>
      </c>
      <c r="Y10" t="str">
        <f>CONCATENATE("INSERT INTO cscadaeventrules VALUES (",$R10+7000,",'",Elements!$A25,"_CECORESetpointMotive','",Elements!$A25,".CECORESetpointMotive","&gt;0',",$D$3,",",$J$6,",",$N$10,",",$A10,",1,0",",1);")</f>
        <v>INSERT INTO cscadaeventrules VALUES (7009,'NODE_Oncala_CECORESetpointMotive','NODE_Oncala.CECORESetpointMotive&gt;0',0,5,9,9,1,0,1);</v>
      </c>
      <c r="Z10" t="str">
        <f>CONCATENATE("INSERT INTO cscadaeventrules VALUES (",$R10+8000,",'",Elements!$A25,"_CECOELSetpointMotive','",Elements!$A25,".CECOELSetpointMotive","==0',",$D$3,",",$J$6,",",$N$11,",",$A10,",0,0",",5);")</f>
        <v>INSERT INTO cscadaeventrules VALUES (8009,'NODE_Oncala_CECOELSetpointMotive','NODE_Oncala.CECOELSetpointMotive==0',0,5,10,9,0,0,5);</v>
      </c>
      <c r="AA10" t="s">
        <v>83</v>
      </c>
      <c r="AD10" t="s">
        <v>83</v>
      </c>
      <c r="AF10" t="s">
        <v>83</v>
      </c>
    </row>
    <row r="11" spans="1:53" ht="14.25" x14ac:dyDescent="0.25">
      <c r="A11">
        <v>10</v>
      </c>
      <c r="B11" t="str">
        <f>Elements!C26</f>
        <v>NU Trevago</v>
      </c>
      <c r="D11" t="s">
        <v>83</v>
      </c>
      <c r="E11" t="s">
        <v>83</v>
      </c>
      <c r="I11" t="s">
        <v>83</v>
      </c>
      <c r="L11" s="1" t="s">
        <v>83</v>
      </c>
      <c r="M11" t="s">
        <v>83</v>
      </c>
      <c r="N11" s="1">
        <v>10</v>
      </c>
      <c r="O11" s="10" t="s">
        <v>127</v>
      </c>
      <c r="P11" s="10" t="str">
        <f t="shared" si="2"/>
        <v>INSERT INTO cscadaeventtexts VALUES (10,'No regulation in progress');</v>
      </c>
      <c r="Q11" t="s">
        <v>83</v>
      </c>
      <c r="R11" s="1">
        <v>10</v>
      </c>
      <c r="T11" s="9" t="str">
        <f t="shared" si="0"/>
        <v>INSERT INTO cscadaeventsources VALUES (10,'NU Trevago');</v>
      </c>
      <c r="U11" s="9" t="s">
        <v>83</v>
      </c>
      <c r="X11" t="str">
        <f>CONCATENATE("INSERT INTO cscadaeventrules VALUES (",$R11+6000,",'",Elements!$A26,"_CECOELSetpointMotive','",Elements!$A26,".CECOELSetpointMotive","&gt;0',",$D$3,",",$J$6,",",$N$9,",",$A11,",1,0",",1);")</f>
        <v>INSERT INTO cscadaeventrules VALUES (6010,'NODE_Trevago_CECOELSetpointMotive','NODE_Trevago.CECOELSetpointMotive&gt;0',0,5,8,10,1,0,1);</v>
      </c>
      <c r="Y11" t="str">
        <f>CONCATENATE("INSERT INTO cscadaeventrules VALUES (",$R11+7000,",'",Elements!$A26,"_CECORESetpointMotive','",Elements!$A26,".CECORESetpointMotive","&gt;0',",$D$3,",",$J$6,",",$N$10,",",$A11,",1,0",",1);")</f>
        <v>INSERT INTO cscadaeventrules VALUES (7010,'NODE_Trevago_CECORESetpointMotive','NODE_Trevago.CECORESetpointMotive&gt;0',0,5,9,10,1,0,1);</v>
      </c>
      <c r="Z11" t="str">
        <f>CONCATENATE("INSERT INTO cscadaeventrules VALUES (",$R11+8000,",'",Elements!$A26,"_CECOELSetpointMotive','",Elements!$A26,".CECOELSetpointMotive","==0',",$D$3,",",$J$6,",",$N$11,",",$A11,",0,0",",5);")</f>
        <v>INSERT INTO cscadaeventrules VALUES (8010,'NODE_Trevago_CECOELSetpointMotive','NODE_Trevago.CECOELSetpointMotive==0',0,5,10,10,0,0,5);</v>
      </c>
      <c r="AA11" t="s">
        <v>83</v>
      </c>
      <c r="AD11" t="s">
        <v>83</v>
      </c>
      <c r="AF11" t="s">
        <v>83</v>
      </c>
    </row>
    <row r="12" spans="1:53" ht="14.25" x14ac:dyDescent="0.25">
      <c r="A12">
        <v>11</v>
      </c>
      <c r="B12" t="str">
        <f>Elements!C27</f>
        <v>PE Bancal</v>
      </c>
      <c r="D12" t="s">
        <v>83</v>
      </c>
      <c r="E12" t="s">
        <v>83</v>
      </c>
      <c r="H12" s="19"/>
      <c r="I12" t="s">
        <v>83</v>
      </c>
      <c r="L12" s="1" t="s">
        <v>83</v>
      </c>
      <c r="M12" t="s">
        <v>83</v>
      </c>
      <c r="N12" s="1" t="s">
        <v>83</v>
      </c>
      <c r="O12" s="10"/>
      <c r="P12" s="10"/>
      <c r="Q12" t="s">
        <v>83</v>
      </c>
      <c r="R12" s="1">
        <v>11</v>
      </c>
      <c r="T12" s="9" t="str">
        <f t="shared" si="0"/>
        <v>INSERT INTO cscadaeventsources VALUES (11,'PE Bancal');</v>
      </c>
      <c r="U12" s="9" t="s">
        <v>83</v>
      </c>
      <c r="X12" t="str">
        <f>CONCATENATE("INSERT INTO cscadaeventrules VALUES (",$R12+6000,",'",Elements!$A27,"_CECOELSetpointMotive','",Elements!$A27,".CECOELSetpointMotive","&gt;0',",$D$3,",",$J$6,",",$N$9,",",$A12,",1,0",",1);")</f>
        <v>INSERT INTO cscadaeventrules VALUES (6011,'PARK_Bancal_CECOELSetpointMotive','PARK_Bancal.CECOELSetpointMotive&gt;0',0,5,8,11,1,0,1);</v>
      </c>
      <c r="Y12" t="str">
        <f>CONCATENATE("INSERT INTO cscadaeventrules VALUES (",$R12+7000,",'",Elements!$A27,"_CECORESetpointMotive','",Elements!$A27,".CECORESetpointMotive","&gt;0',",$D$3,",",$J$6,",",$N$10,",",$A12,",1,0",",1);")</f>
        <v>INSERT INTO cscadaeventrules VALUES (7011,'PARK_Bancal_CECORESetpointMotive','PARK_Bancal.CECORESetpointMotive&gt;0',0,5,9,11,1,0,1);</v>
      </c>
      <c r="Z12" t="str">
        <f>CONCATENATE("INSERT INTO cscadaeventrules VALUES (",$R12+8000,",'",Elements!$A27,"_CECOELSetpointMotive','",Elements!$A27,".CECOELSetpointMotive","==0',",$D$3,",",$J$6,",",$N$11,",",$A12,",0,0",",5);")</f>
        <v>INSERT INTO cscadaeventrules VALUES (8011,'PARK_Bancal_CECOELSetpointMotive','PARK_Bancal.CECOELSetpointMotive==0',0,5,10,11,0,0,5);</v>
      </c>
      <c r="AA12" t="s">
        <v>83</v>
      </c>
      <c r="AB12" t="str">
        <f>CONCATENATE("INSERT INTO cscadaeventrules VALUES (",$R12+2000,",'",Elements!$A27,"_GridConnection','",Elements!$A27,".GridConnection","==0',",$D$3,",",$J$4,",",$N$4,",",$A12,",1,0,3);")</f>
        <v>INSERT INTO cscadaeventrules VALUES (2011,'PARK_Bancal_GridConnection','PARK_Bancal.GridConnection==0',0,3,3,11,1,0,3);</v>
      </c>
      <c r="AC12" t="str">
        <f>CONCATENATE("INSERT INTO cscadaeventrules VALUES (",$R12+3000,",'",Elements!$A27,"_GridConnection','",Elements!$A27,".GridConnection","==1',",$D$3,",",$J$3,",",$N$5,",",$A12,",1,0,2);")</f>
        <v>INSERT INTO cscadaeventrules VALUES (3011,'PARK_Bancal_GridConnection','PARK_Bancal.GridConnection==1',0,2,4,11,1,0,2);</v>
      </c>
      <c r="AD12" t="s">
        <v>83</v>
      </c>
      <c r="AE12" t="str">
        <f>CONCATENATE("INSERT INTO cscadaeventrules VALUES (",$R12+4000,",'",Elements!$A27,"_Active','",Elements!$A27,".Active","==false',",$D$3,",",$J$5,",",$N$6,",",$A12,",1,0,4);")</f>
        <v>INSERT INTO cscadaeventrules VALUES (4011,'PARK_Bancal_Active','PARK_Bancal.Active==false',0,4,5,11,1,0,4);</v>
      </c>
      <c r="AF12" t="s">
        <v>83</v>
      </c>
    </row>
    <row r="13" spans="1:53" ht="14.25" x14ac:dyDescent="0.25">
      <c r="A13">
        <v>12</v>
      </c>
      <c r="B13" t="str">
        <f>Elements!C28</f>
        <v>PE LosSiglos</v>
      </c>
      <c r="D13" t="s">
        <v>83</v>
      </c>
      <c r="E13" t="s">
        <v>83</v>
      </c>
      <c r="H13" s="12" t="s">
        <v>83</v>
      </c>
      <c r="I13" t="s">
        <v>83</v>
      </c>
      <c r="L13" s="1" t="s">
        <v>83</v>
      </c>
      <c r="M13" t="s">
        <v>83</v>
      </c>
      <c r="N13" s="1" t="s">
        <v>83</v>
      </c>
      <c r="O13" s="10"/>
      <c r="P13" s="10"/>
      <c r="R13" s="1">
        <v>12</v>
      </c>
      <c r="T13" s="9" t="str">
        <f t="shared" si="0"/>
        <v>INSERT INTO cscadaeventsources VALUES (12,'PE LosSiglos');</v>
      </c>
      <c r="U13" s="9" t="s">
        <v>83</v>
      </c>
      <c r="X13" t="str">
        <f>CONCATENATE("INSERT INTO cscadaeventrules VALUES (",$R13+6000,",'",Elements!$A28,"_CECOELSetpointMotive','",Elements!$A28,".CECOELSetpointMotive","&gt;0',",$D$3,",",$J$6,",",$N$9,",",$A13,",1,0",",1);")</f>
        <v>INSERT INTO cscadaeventrules VALUES (6012,'PARK_LosSiglos_CECOELSetpointMotive','PARK_LosSiglos.CECOELSetpointMotive&gt;0',0,5,8,12,1,0,1);</v>
      </c>
      <c r="Y13" t="str">
        <f>CONCATENATE("INSERT INTO cscadaeventrules VALUES (",$R13+7000,",'",Elements!$A28,"_CECORESetpointMotive','",Elements!$A28,".CECORESetpointMotive","&gt;0',",$D$3,",",$J$6,",",$N$10,",",$A13,",1,0",",1);")</f>
        <v>INSERT INTO cscadaeventrules VALUES (7012,'PARK_LosSiglos_CECORESetpointMotive','PARK_LosSiglos.CECORESetpointMotive&gt;0',0,5,9,12,1,0,1);</v>
      </c>
      <c r="Z13" t="str">
        <f>CONCATENATE("INSERT INTO cscadaeventrules VALUES (",$R13+8000,",'",Elements!$A28,"_CECOELSetpointMotive','",Elements!$A28,".CECOELSetpointMotive","==0',",$D$3,",",$J$6,",",$N$11,",",$A13,",0,0",",5);")</f>
        <v>INSERT INTO cscadaeventrules VALUES (8012,'PARK_LosSiglos_CECOELSetpointMotive','PARK_LosSiglos.CECOELSetpointMotive==0',0,5,10,12,0,0,5);</v>
      </c>
      <c r="AA13" t="s">
        <v>83</v>
      </c>
      <c r="AB13" t="str">
        <f>CONCATENATE("INSERT INTO cscadaeventrules VALUES (",$R13+2000,",'",Elements!$A28,"_GridConnection','",Elements!$A28,".GridConnection","==0',",$D$3,",",$J$4,",",$N$4,",",$A13,",1,0,3);")</f>
        <v>INSERT INTO cscadaeventrules VALUES (2012,'PARK_LosSiglos_GridConnection','PARK_LosSiglos.GridConnection==0',0,3,3,12,1,0,3);</v>
      </c>
      <c r="AC13" t="str">
        <f>CONCATENATE("INSERT INTO cscadaeventrules VALUES (",$R13+3000,",'",Elements!$A28,"_GridConnection','",Elements!$A28,".GridConnection","==1',",$D$3,",",$J$3,",",$N$5,",",$A13,",1,0,2);")</f>
        <v>INSERT INTO cscadaeventrules VALUES (3012,'PARK_LosSiglos_GridConnection','PARK_LosSiglos.GridConnection==1',0,2,4,12,1,0,2);</v>
      </c>
      <c r="AD13" t="s">
        <v>83</v>
      </c>
      <c r="AE13" t="str">
        <f>CONCATENATE("INSERT INTO cscadaeventrules VALUES (",$R13+4000,",'",Elements!$A28,"_Active','",Elements!$A28,".Active","==false',",$D$3,",",$J$5,",",$N$6,",",$A13,",1,0,4);")</f>
        <v>INSERT INTO cscadaeventrules VALUES (4012,'PARK_LosSiglos_Active','PARK_LosSiglos.Active==false',0,4,5,12,1,0,4);</v>
      </c>
      <c r="AF13" t="s">
        <v>83</v>
      </c>
    </row>
    <row r="14" spans="1:53" ht="14.25" x14ac:dyDescent="0.25">
      <c r="A14">
        <v>13</v>
      </c>
      <c r="B14" t="str">
        <f>Elements!C29</f>
        <v>PE RioGallego</v>
      </c>
      <c r="D14" t="s">
        <v>83</v>
      </c>
      <c r="E14" t="s">
        <v>83</v>
      </c>
      <c r="H14" s="12" t="s">
        <v>83</v>
      </c>
      <c r="I14" t="s">
        <v>83</v>
      </c>
      <c r="L14" s="1" t="s">
        <v>83</v>
      </c>
      <c r="M14" t="s">
        <v>83</v>
      </c>
      <c r="N14" s="1" t="s">
        <v>83</v>
      </c>
      <c r="O14" s="10"/>
      <c r="P14" s="10"/>
      <c r="R14" s="1">
        <v>13</v>
      </c>
      <c r="T14" s="9" t="str">
        <f t="shared" si="0"/>
        <v>INSERT INTO cscadaeventsources VALUES (13,'PE RioGallego');</v>
      </c>
      <c r="U14" s="9" t="s">
        <v>83</v>
      </c>
      <c r="X14" t="str">
        <f>CONCATENATE("INSERT INTO cscadaeventrules VALUES (",$R14+6000,",'",Elements!$A29,"_CECOELSetpointMotive','",Elements!$A29,".CECOELSetpointMotive","&gt;0',",$D$3,",",$J$6,",",$N$9,",",$A14,",1,0",",1);")</f>
        <v>INSERT INTO cscadaeventrules VALUES (6013,'PARK_RioGallego_CECOELSetpointMotive','PARK_RioGallego.CECOELSetpointMotive&gt;0',0,5,8,13,1,0,1);</v>
      </c>
      <c r="Y14" t="str">
        <f>CONCATENATE("INSERT INTO cscadaeventrules VALUES (",$R14+7000,",'",Elements!$A29,"_CECORESetpointMotive','",Elements!$A29,".CECORESetpointMotive","&gt;0',",$D$3,",",$J$6,",",$N$10,",",$A14,",1,0",",1);")</f>
        <v>INSERT INTO cscadaeventrules VALUES (7013,'PARK_RioGallego_CECORESetpointMotive','PARK_RioGallego.CECORESetpointMotive&gt;0',0,5,9,13,1,0,1);</v>
      </c>
      <c r="Z14" t="str">
        <f>CONCATENATE("INSERT INTO cscadaeventrules VALUES (",$R14+8000,",'",Elements!$A29,"_CECOELSetpointMotive','",Elements!$A29,".CECOELSetpointMotive","==0',",$D$3,",",$J$6,",",$N$11,",",$A14,",0,0",",5);")</f>
        <v>INSERT INTO cscadaeventrules VALUES (8013,'PARK_RioGallego_CECOELSetpointMotive','PARK_RioGallego.CECOELSetpointMotive==0',0,5,10,13,0,0,5);</v>
      </c>
      <c r="AA14" t="s">
        <v>83</v>
      </c>
      <c r="AB14" t="str">
        <f>CONCATENATE("INSERT INTO cscadaeventrules VALUES (",$R14+2000,",'",Elements!$A29,"_GridConnection','",Elements!$A29,".GridConnection","==0',",$D$3,",",$J$4,",",$N$4,",",$A14,",1,0,3);")</f>
        <v>INSERT INTO cscadaeventrules VALUES (2013,'PARK_RioGallego_GridConnection','PARK_RioGallego.GridConnection==0',0,3,3,13,1,0,3);</v>
      </c>
      <c r="AC14" t="str">
        <f>CONCATENATE("INSERT INTO cscadaeventrules VALUES (",$R14+3000,",'",Elements!$A29,"_GridConnection','",Elements!$A29,".GridConnection","==1',",$D$3,",",$J$3,",",$N$5,",",$A14,",1,0,2);")</f>
        <v>INSERT INTO cscadaeventrules VALUES (3013,'PARK_RioGallego_GridConnection','PARK_RioGallego.GridConnection==1',0,2,4,13,1,0,2);</v>
      </c>
      <c r="AD14" t="s">
        <v>83</v>
      </c>
      <c r="AE14" t="str">
        <f>CONCATENATE("INSERT INTO cscadaeventrules VALUES (",$R14+4000,",'",Elements!$A29,"_Active','",Elements!$A29,".Active","==false',",$D$3,",",$J$5,",",$N$6,",",$A14,",1,0,4);")</f>
        <v>INSERT INTO cscadaeventrules VALUES (4013,'PARK_RioGallego_Active','PARK_RioGallego.Active==false',0,4,5,13,1,0,4);</v>
      </c>
      <c r="AF14" t="s">
        <v>83</v>
      </c>
    </row>
    <row r="15" spans="1:53" ht="14.25" x14ac:dyDescent="0.25">
      <c r="A15">
        <v>14</v>
      </c>
      <c r="B15" t="str">
        <f>Elements!C30</f>
        <v>PE Grisel</v>
      </c>
      <c r="D15" t="s">
        <v>83</v>
      </c>
      <c r="E15" t="s">
        <v>83</v>
      </c>
      <c r="H15" s="12" t="s">
        <v>83</v>
      </c>
      <c r="I15" t="s">
        <v>83</v>
      </c>
      <c r="L15" s="1" t="s">
        <v>83</v>
      </c>
      <c r="N15" s="1" t="s">
        <v>83</v>
      </c>
      <c r="O15" s="10"/>
      <c r="P15" s="10"/>
      <c r="R15" s="1">
        <v>14</v>
      </c>
      <c r="T15" s="9" t="str">
        <f t="shared" si="0"/>
        <v>INSERT INTO cscadaeventsources VALUES (14,'PE Grisel');</v>
      </c>
      <c r="U15" s="9" t="s">
        <v>83</v>
      </c>
      <c r="X15" t="str">
        <f>CONCATENATE("INSERT INTO cscadaeventrules VALUES (",$R15+6000,",'",Elements!$A30,"_CECOELSetpointMotive','",Elements!$A30,".CECOELSetpointMotive","&gt;0',",$D$3,",",$J$6,",",$N$9,",",$A15,",1,0",",1);")</f>
        <v>INSERT INTO cscadaeventrules VALUES (6014,'PARK_Grisel_CECOELSetpointMotive','PARK_Grisel.CECOELSetpointMotive&gt;0',0,5,8,14,1,0,1);</v>
      </c>
      <c r="Y15" t="str">
        <f>CONCATENATE("INSERT INTO cscadaeventrules VALUES (",$R15+7000,",'",Elements!$A30,"_CECORESetpointMotive','",Elements!$A30,".CECORESetpointMotive","&gt;0',",$D$3,",",$J$6,",",$N$10,",",$A15,",1,0",",1);")</f>
        <v>INSERT INTO cscadaeventrules VALUES (7014,'PARK_Grisel_CECORESetpointMotive','PARK_Grisel.CECORESetpointMotive&gt;0',0,5,9,14,1,0,1);</v>
      </c>
      <c r="Z15" t="str">
        <f>CONCATENATE("INSERT INTO cscadaeventrules VALUES (",$R15+8000,",'",Elements!$A30,"_CECOELSetpointMotive','",Elements!$A30,".CECOELSetpointMotive","==0',",$D$3,",",$J$6,",",$N$11,",",$A15,",0,0",",5);")</f>
        <v>INSERT INTO cscadaeventrules VALUES (8014,'PARK_Grisel_CECOELSetpointMotive','PARK_Grisel.CECOELSetpointMotive==0',0,5,10,14,0,0,5);</v>
      </c>
      <c r="AA15" t="s">
        <v>83</v>
      </c>
      <c r="AB15" t="str">
        <f>CONCATENATE("INSERT INTO cscadaeventrules VALUES (",$R15+2000,",'",Elements!$A30,"_GridConnection','",Elements!$A30,".GridConnection","==0',",$D$3,",",$J$4,",",$N$4,",",$A15,",1,0,3);")</f>
        <v>INSERT INTO cscadaeventrules VALUES (2014,'PARK_Grisel_GridConnection','PARK_Grisel.GridConnection==0',0,3,3,14,1,0,3);</v>
      </c>
      <c r="AC15" t="str">
        <f>CONCATENATE("INSERT INTO cscadaeventrules VALUES (",$R15+3000,",'",Elements!$A30,"_GridConnection','",Elements!$A30,".GridConnection","==1',",$D$3,",",$J$3,",",$N$5,",",$A15,",1,0,2);")</f>
        <v>INSERT INTO cscadaeventrules VALUES (3014,'PARK_Grisel_GridConnection','PARK_Grisel.GridConnection==1',0,2,4,14,1,0,2);</v>
      </c>
      <c r="AD15" t="s">
        <v>83</v>
      </c>
      <c r="AE15" t="str">
        <f>CONCATENATE("INSERT INTO cscadaeventrules VALUES (",$R15+4000,",'",Elements!$A30,"_Active','",Elements!$A30,".Active","==false',",$D$3,",",$J$5,",",$N$6,",",$A15,",1,0,4);")</f>
        <v>INSERT INTO cscadaeventrules VALUES (4014,'PARK_Grisel_Active','PARK_Grisel.Active==false',0,4,5,14,1,0,4);</v>
      </c>
      <c r="AF15" t="s">
        <v>83</v>
      </c>
    </row>
    <row r="16" spans="1:53" ht="14.25" x14ac:dyDescent="0.25">
      <c r="A16">
        <v>15</v>
      </c>
      <c r="B16" t="str">
        <f>Elements!C31</f>
        <v>PE AcampoArmijo</v>
      </c>
      <c r="D16" t="s">
        <v>83</v>
      </c>
      <c r="E16" t="s">
        <v>83</v>
      </c>
      <c r="H16" s="12" t="s">
        <v>83</v>
      </c>
      <c r="I16" t="s">
        <v>83</v>
      </c>
      <c r="L16" s="1" t="s">
        <v>83</v>
      </c>
      <c r="N16" s="1" t="s">
        <v>83</v>
      </c>
      <c r="O16" s="10"/>
      <c r="P16" s="10"/>
      <c r="R16" s="1">
        <v>15</v>
      </c>
      <c r="T16" s="9" t="str">
        <f t="shared" si="0"/>
        <v>INSERT INTO cscadaeventsources VALUES (15,'PE AcampoArmijo');</v>
      </c>
      <c r="U16" s="9" t="s">
        <v>83</v>
      </c>
      <c r="X16" t="str">
        <f>CONCATENATE("INSERT INTO cscadaeventrules VALUES (",$R16+6000,",'",Elements!$A31,"_CECOELSetpointMotive','",Elements!$A31,".CECOELSetpointMotive","&gt;0',",$D$3,",",$J$6,",",$N$9,",",$A16,",1,0",",1);")</f>
        <v>INSERT INTO cscadaeventrules VALUES (6015,'PARK_AcampoArmijo_CECOELSetpointMotive','PARK_AcampoArmijo.CECOELSetpointMotive&gt;0',0,5,8,15,1,0,1);</v>
      </c>
      <c r="Y16" t="str">
        <f>CONCATENATE("INSERT INTO cscadaeventrules VALUES (",$R16+7000,",'",Elements!$A31,"_CECORESetpointMotive','",Elements!$A31,".CECORESetpointMotive","&gt;0',",$D$3,",",$J$6,",",$N$10,",",$A16,",1,0",",1);")</f>
        <v>INSERT INTO cscadaeventrules VALUES (7015,'PARK_AcampoArmijo_CECORESetpointMotive','PARK_AcampoArmijo.CECORESetpointMotive&gt;0',0,5,9,15,1,0,1);</v>
      </c>
      <c r="Z16" t="str">
        <f>CONCATENATE("INSERT INTO cscadaeventrules VALUES (",$R16+8000,",'",Elements!$A31,"_CECOELSetpointMotive','",Elements!$A31,".CECOELSetpointMotive","==0',",$D$3,",",$J$6,",",$N$11,",",$A16,",0,0",",5);")</f>
        <v>INSERT INTO cscadaeventrules VALUES (8015,'PARK_AcampoArmijo_CECOELSetpointMotive','PARK_AcampoArmijo.CECOELSetpointMotive==0',0,5,10,15,0,0,5);</v>
      </c>
      <c r="AA16" t="s">
        <v>83</v>
      </c>
      <c r="AB16" t="str">
        <f>CONCATENATE("INSERT INTO cscadaeventrules VALUES (",$R16+2000,",'",Elements!$A31,"_GridConnection','",Elements!$A31,".GridConnection","==0',",$D$3,",",$J$4,",",$N$4,",",$A16,",1,0,3);")</f>
        <v>INSERT INTO cscadaeventrules VALUES (2015,'PARK_AcampoArmijo_GridConnection','PARK_AcampoArmijo.GridConnection==0',0,3,3,15,1,0,3);</v>
      </c>
      <c r="AC16" t="str">
        <f>CONCATENATE("INSERT INTO cscadaeventrules VALUES (",$R16+3000,",'",Elements!$A31,"_GridConnection','",Elements!$A31,".GridConnection","==1',",$D$3,",",$J$3,",",$N$5,",",$A16,",1,0,2);")</f>
        <v>INSERT INTO cscadaeventrules VALUES (3015,'PARK_AcampoArmijo_GridConnection','PARK_AcampoArmijo.GridConnection==1',0,2,4,15,1,0,2);</v>
      </c>
      <c r="AD16" t="s">
        <v>83</v>
      </c>
      <c r="AE16" t="str">
        <f>CONCATENATE("INSERT INTO cscadaeventrules VALUES (",$R16+4000,",'",Elements!$A31,"_Active','",Elements!$A31,".Active","==false',",$D$3,",",$J$5,",",$N$6,",",$A16,",1,0,4);")</f>
        <v>INSERT INTO cscadaeventrules VALUES (4015,'PARK_AcampoArmijo_Active','PARK_AcampoArmijo.Active==false',0,4,5,15,1,0,4);</v>
      </c>
      <c r="AF16" t="s">
        <v>83</v>
      </c>
    </row>
    <row r="17" spans="1:32" ht="14.25" x14ac:dyDescent="0.25">
      <c r="A17">
        <v>16</v>
      </c>
      <c r="B17" t="str">
        <f>Elements!C32</f>
        <v>PE BosqueAlto</v>
      </c>
      <c r="E17" t="s">
        <v>83</v>
      </c>
      <c r="H17" s="12" t="s">
        <v>83</v>
      </c>
      <c r="I17" t="s">
        <v>83</v>
      </c>
      <c r="L17" s="1" t="s">
        <v>83</v>
      </c>
      <c r="N17" s="1" t="s">
        <v>83</v>
      </c>
      <c r="P17" s="10"/>
      <c r="R17" s="1">
        <v>16</v>
      </c>
      <c r="T17" s="9" t="str">
        <f t="shared" si="0"/>
        <v>INSERT INTO cscadaeventsources VALUES (16,'PE BosqueAlto');</v>
      </c>
      <c r="U17" s="9" t="s">
        <v>83</v>
      </c>
      <c r="X17" t="str">
        <f>CONCATENATE("INSERT INTO cscadaeventrules VALUES (",$R17+6000,",'",Elements!$A32,"_CECOELSetpointMotive','",Elements!$A32,".CECOELSetpointMotive","&gt;0',",$D$3,",",$J$6,",",$N$9,",",$A17,",1,0",",1);")</f>
        <v>INSERT INTO cscadaeventrules VALUES (6016,'PARK_BosqueAlto_CECOELSetpointMotive','PARK_BosqueAlto.CECOELSetpointMotive&gt;0',0,5,8,16,1,0,1);</v>
      </c>
      <c r="Y17" t="str">
        <f>CONCATENATE("INSERT INTO cscadaeventrules VALUES (",$R17+7000,",'",Elements!$A32,"_CECORESetpointMotive','",Elements!$A32,".CECORESetpointMotive","&gt;0',",$D$3,",",$J$6,",",$N$10,",",$A17,",1,0",",1);")</f>
        <v>INSERT INTO cscadaeventrules VALUES (7016,'PARK_BosqueAlto_CECORESetpointMotive','PARK_BosqueAlto.CECORESetpointMotive&gt;0',0,5,9,16,1,0,1);</v>
      </c>
      <c r="Z17" t="str">
        <f>CONCATENATE("INSERT INTO cscadaeventrules VALUES (",$R17+8000,",'",Elements!$A32,"_CECOELSetpointMotive','",Elements!$A32,".CECOELSetpointMotive","==0',",$D$3,",",$J$6,",",$N$11,",",$A17,",0,0",",5);")</f>
        <v>INSERT INTO cscadaeventrules VALUES (8016,'PARK_BosqueAlto_CECOELSetpointMotive','PARK_BosqueAlto.CECOELSetpointMotive==0',0,5,10,16,0,0,5);</v>
      </c>
      <c r="AA17" t="s">
        <v>83</v>
      </c>
      <c r="AB17" t="str">
        <f>CONCATENATE("INSERT INTO cscadaeventrules VALUES (",$R17+2000,",'",Elements!$A32,"_GridConnection','",Elements!$A32,".GridConnection","==0',",$D$3,",",$J$4,",",$N$4,",",$A17,",1,0,3);")</f>
        <v>INSERT INTO cscadaeventrules VALUES (2016,'PARK_BosqueAlto_GridConnection','PARK_BosqueAlto.GridConnection==0',0,3,3,16,1,0,3);</v>
      </c>
      <c r="AC17" t="str">
        <f>CONCATENATE("INSERT INTO cscadaeventrules VALUES (",$R17+3000,",'",Elements!$A32,"_GridConnection','",Elements!$A32,".GridConnection","==1',",$D$3,",",$J$3,",",$N$5,",",$A17,",1,0,2);")</f>
        <v>INSERT INTO cscadaeventrules VALUES (3016,'PARK_BosqueAlto_GridConnection','PARK_BosqueAlto.GridConnection==1',0,2,4,16,1,0,2);</v>
      </c>
      <c r="AD17" t="s">
        <v>83</v>
      </c>
      <c r="AE17" t="str">
        <f>CONCATENATE("INSERT INTO cscadaeventrules VALUES (",$R17+4000,",'",Elements!$A32,"_Active','",Elements!$A32,".Active","==false',",$D$3,",",$J$5,",",$N$6,",",$A17,",1,0,4);")</f>
        <v>INSERT INTO cscadaeventrules VALUES (4016,'PARK_BosqueAlto_Active','PARK_BosqueAlto.Active==false',0,4,5,16,1,0,4);</v>
      </c>
      <c r="AF17" t="s">
        <v>83</v>
      </c>
    </row>
    <row r="18" spans="1:32" ht="14.25" x14ac:dyDescent="0.25">
      <c r="A18">
        <v>17</v>
      </c>
      <c r="B18" t="str">
        <f>Elements!C33</f>
        <v>PE LosLabrados</v>
      </c>
      <c r="E18" t="s">
        <v>83</v>
      </c>
      <c r="H18" s="12" t="s">
        <v>83</v>
      </c>
      <c r="I18" t="s">
        <v>83</v>
      </c>
      <c r="L18" s="1" t="s">
        <v>83</v>
      </c>
      <c r="N18" s="1" t="s">
        <v>83</v>
      </c>
      <c r="R18" s="1">
        <v>17</v>
      </c>
      <c r="T18" s="9" t="str">
        <f t="shared" si="0"/>
        <v>INSERT INTO cscadaeventsources VALUES (17,'PE LosLabrados');</v>
      </c>
      <c r="U18" s="9" t="s">
        <v>83</v>
      </c>
      <c r="X18" t="str">
        <f>CONCATENATE("INSERT INTO cscadaeventrules VALUES (",$R18+6000,",'",Elements!$A33,"_CECOELSetpointMotive','",Elements!$A33,".CECOELSetpointMotive","&gt;0',",$D$3,",",$J$6,",",$N$9,",",$A18,",1,0",",1);")</f>
        <v>INSERT INTO cscadaeventrules VALUES (6017,'PARK_LosLabrados_CECOELSetpointMotive','PARK_LosLabrados.CECOELSetpointMotive&gt;0',0,5,8,17,1,0,1);</v>
      </c>
      <c r="Y18" t="str">
        <f>CONCATENATE("INSERT INTO cscadaeventrules VALUES (",$R18+7000,",'",Elements!$A33,"_CECORESetpointMotive','",Elements!$A33,".CECORESetpointMotive","&gt;0',",$D$3,",",$J$6,",",$N$10,",",$A18,",1,0",",1);")</f>
        <v>INSERT INTO cscadaeventrules VALUES (7017,'PARK_LosLabrados_CECORESetpointMotive','PARK_LosLabrados.CECORESetpointMotive&gt;0',0,5,9,17,1,0,1);</v>
      </c>
      <c r="Z18" t="str">
        <f>CONCATENATE("INSERT INTO cscadaeventrules VALUES (",$R18+8000,",'",Elements!$A33,"_CECOELSetpointMotive','",Elements!$A33,".CECOELSetpointMotive","==0',",$D$3,",",$J$6,",",$N$11,",",$A18,",0,0",",5);")</f>
        <v>INSERT INTO cscadaeventrules VALUES (8017,'PARK_LosLabrados_CECOELSetpointMotive','PARK_LosLabrados.CECOELSetpointMotive==0',0,5,10,17,0,0,5);</v>
      </c>
      <c r="AA18" t="s">
        <v>83</v>
      </c>
      <c r="AB18" t="str">
        <f>CONCATENATE("INSERT INTO cscadaeventrules VALUES (",$R18+2000,",'",Elements!$A33,"_GridConnection','",Elements!$A33,".GridConnection","==0',",$D$3,",",$J$4,",",$N$4,",",$A18,",1,0,3);")</f>
        <v>INSERT INTO cscadaeventrules VALUES (2017,'PARK_LosLabrados_GridConnection','PARK_LosLabrados.GridConnection==0',0,3,3,17,1,0,3);</v>
      </c>
      <c r="AC18" t="str">
        <f>CONCATENATE("INSERT INTO cscadaeventrules VALUES (",$R18+3000,",'",Elements!$A33,"_GridConnection','",Elements!$A33,".GridConnection","==1',",$D$3,",",$J$3,",",$N$5,",",$A18,",1,0,2);")</f>
        <v>INSERT INTO cscadaeventrules VALUES (3017,'PARK_LosLabrados_GridConnection','PARK_LosLabrados.GridConnection==1',0,2,4,17,1,0,2);</v>
      </c>
      <c r="AD18" t="s">
        <v>83</v>
      </c>
      <c r="AE18" t="str">
        <f>CONCATENATE("INSERT INTO cscadaeventrules VALUES (",$R18+4000,",'",Elements!$A33,"_Active','",Elements!$A33,".Active","==false',",$D$3,",",$J$5,",",$N$6,",",$A18,",1,0,4);")</f>
        <v>INSERT INTO cscadaeventrules VALUES (4017,'PARK_LosLabrados_Active','PARK_LosLabrados.Active==false',0,4,5,17,1,0,4);</v>
      </c>
      <c r="AF18" t="s">
        <v>83</v>
      </c>
    </row>
    <row r="19" spans="1:32" ht="14.25" x14ac:dyDescent="0.25">
      <c r="A19">
        <v>18</v>
      </c>
      <c r="B19" t="str">
        <f>Elements!C34</f>
        <v>PE PlanaDeLaBalsa</v>
      </c>
      <c r="E19" t="s">
        <v>83</v>
      </c>
      <c r="H19" s="12" t="s">
        <v>83</v>
      </c>
      <c r="I19" t="s">
        <v>83</v>
      </c>
      <c r="L19" s="1" t="s">
        <v>83</v>
      </c>
      <c r="N19" s="1" t="s">
        <v>83</v>
      </c>
      <c r="R19" s="1">
        <v>18</v>
      </c>
      <c r="T19" s="9" t="str">
        <f t="shared" si="0"/>
        <v>INSERT INTO cscadaeventsources VALUES (18,'PE PlanaDeLaBalsa');</v>
      </c>
      <c r="U19" s="9" t="s">
        <v>83</v>
      </c>
      <c r="X19" t="str">
        <f>CONCATENATE("INSERT INTO cscadaeventrules VALUES (",$R19+6000,",'",Elements!$A34,"_CECOELSetpointMotive','",Elements!$A34,".CECOELSetpointMotive","&gt;0',",$D$3,",",$J$6,",",$N$9,",",$A19,",1,0",",1);")</f>
        <v>INSERT INTO cscadaeventrules VALUES (6018,'PARK_PlanaDeLaBalsa_CECOELSetpointMotive','PARK_PlanaDeLaBalsa.CECOELSetpointMotive&gt;0',0,5,8,18,1,0,1);</v>
      </c>
      <c r="Y19" t="str">
        <f>CONCATENATE("INSERT INTO cscadaeventrules VALUES (",$R19+7000,",'",Elements!$A34,"_CECORESetpointMotive','",Elements!$A34,".CECORESetpointMotive","&gt;0',",$D$3,",",$J$6,",",$N$10,",",$A19,",1,0",",1);")</f>
        <v>INSERT INTO cscadaeventrules VALUES (7018,'PARK_PlanaDeLaBalsa_CECORESetpointMotive','PARK_PlanaDeLaBalsa.CECORESetpointMotive&gt;0',0,5,9,18,1,0,1);</v>
      </c>
      <c r="Z19" t="str">
        <f>CONCATENATE("INSERT INTO cscadaeventrules VALUES (",$R19+8000,",'",Elements!$A34,"_CECOELSetpointMotive','",Elements!$A34,".CECOELSetpointMotive","==0',",$D$3,",",$J$6,",",$N$11,",",$A19,",0,0",",5);")</f>
        <v>INSERT INTO cscadaeventrules VALUES (8018,'PARK_PlanaDeLaBalsa_CECOELSetpointMotive','PARK_PlanaDeLaBalsa.CECOELSetpointMotive==0',0,5,10,18,0,0,5);</v>
      </c>
      <c r="AA19" t="s">
        <v>83</v>
      </c>
      <c r="AB19" t="str">
        <f>CONCATENATE("INSERT INTO cscadaeventrules VALUES (",$R19+2000,",'",Elements!$A34,"_GridConnection','",Elements!$A34,".GridConnection","==0',",$D$3,",",$J$4,",",$N$4,",",$A19,",1,0,3);")</f>
        <v>INSERT INTO cscadaeventrules VALUES (2018,'PARK_PlanaDeLaBalsa_GridConnection','PARK_PlanaDeLaBalsa.GridConnection==0',0,3,3,18,1,0,3);</v>
      </c>
      <c r="AC19" t="str">
        <f>CONCATENATE("INSERT INTO cscadaeventrules VALUES (",$R19+3000,",'",Elements!$A34,"_GridConnection','",Elements!$A34,".GridConnection","==1',",$D$3,",",$J$3,",",$N$5,",",$A19,",1,0,2);")</f>
        <v>INSERT INTO cscadaeventrules VALUES (3018,'PARK_PlanaDeLaBalsa_GridConnection','PARK_PlanaDeLaBalsa.GridConnection==1',0,2,4,18,1,0,2);</v>
      </c>
      <c r="AD19" t="s">
        <v>83</v>
      </c>
      <c r="AE19" t="str">
        <f>CONCATENATE("INSERT INTO cscadaeventrules VALUES (",$R19+4000,",'",Elements!$A34,"_Active','",Elements!$A34,".Active","==false',",$D$3,",",$J$5,",",$N$6,",",$A19,",1,0,4);")</f>
        <v>INSERT INTO cscadaeventrules VALUES (4018,'PARK_PlanaDeLaBalsa_Active','PARK_PlanaDeLaBalsa.Active==false',0,4,5,18,1,0,4);</v>
      </c>
      <c r="AF19" t="s">
        <v>83</v>
      </c>
    </row>
    <row r="20" spans="1:32" ht="14.25" x14ac:dyDescent="0.25">
      <c r="A20">
        <v>19</v>
      </c>
      <c r="B20" t="str">
        <f>Elements!C35</f>
        <v>PE PlanaDeMaria</v>
      </c>
      <c r="E20" t="s">
        <v>83</v>
      </c>
      <c r="I20" t="s">
        <v>83</v>
      </c>
      <c r="R20" s="1">
        <v>19</v>
      </c>
      <c r="T20" s="9" t="str">
        <f t="shared" si="0"/>
        <v>INSERT INTO cscadaeventsources VALUES (19,'PE PlanaDeMaria');</v>
      </c>
      <c r="U20" s="9" t="s">
        <v>83</v>
      </c>
      <c r="X20" t="str">
        <f>CONCATENATE("INSERT INTO cscadaeventrules VALUES (",$R20+6000,",'",Elements!$A35,"_CECOELSetpointMotive','",Elements!$A35,".CECOELSetpointMotive","&gt;0',",$D$3,",",$J$6,",",$N$9,",",$A20,",1,0",",1);")</f>
        <v>INSERT INTO cscadaeventrules VALUES (6019,'PARK_PlanaDeMaria_CECOELSetpointMotive','PARK_PlanaDeMaria.CECOELSetpointMotive&gt;0',0,5,8,19,1,0,1);</v>
      </c>
      <c r="Y20" t="str">
        <f>CONCATENATE("INSERT INTO cscadaeventrules VALUES (",$R20+7000,",'",Elements!$A35,"_CECORESetpointMotive','",Elements!$A35,".CECORESetpointMotive","&gt;0',",$D$3,",",$J$6,",",$N$10,",",$A20,",1,0",",1);")</f>
        <v>INSERT INTO cscadaeventrules VALUES (7019,'PARK_PlanaDeMaria_CECORESetpointMotive','PARK_PlanaDeMaria.CECORESetpointMotive&gt;0',0,5,9,19,1,0,1);</v>
      </c>
      <c r="Z20" t="str">
        <f>CONCATENATE("INSERT INTO cscadaeventrules VALUES (",$R20+8000,",'",Elements!$A35,"_CECOELSetpointMotive','",Elements!$A35,".CECOELSetpointMotive","==0',",$D$3,",",$J$6,",",$N$11,",",$A20,",0,0",",5);")</f>
        <v>INSERT INTO cscadaeventrules VALUES (8019,'PARK_PlanaDeMaria_CECOELSetpointMotive','PARK_PlanaDeMaria.CECOELSetpointMotive==0',0,5,10,19,0,0,5);</v>
      </c>
      <c r="AA20" t="s">
        <v>83</v>
      </c>
      <c r="AB20" t="str">
        <f>CONCATENATE("INSERT INTO cscadaeventrules VALUES (",$R20+2000,",'",Elements!$A35,"_GridConnection','",Elements!$A35,".GridConnection","==0',",$D$3,",",$J$4,",",$N$4,",",$A20,",1,0,3);")</f>
        <v>INSERT INTO cscadaeventrules VALUES (2019,'PARK_PlanaDeMaria_GridConnection','PARK_PlanaDeMaria.GridConnection==0',0,3,3,19,1,0,3);</v>
      </c>
      <c r="AC20" t="str">
        <f>CONCATENATE("INSERT INTO cscadaeventrules VALUES (",$R20+3000,",'",Elements!$A35,"_GridConnection','",Elements!$A35,".GridConnection","==1',",$D$3,",",$J$3,",",$N$5,",",$A20,",1,0,2);")</f>
        <v>INSERT INTO cscadaeventrules VALUES (3019,'PARK_PlanaDeMaria_GridConnection','PARK_PlanaDeMaria.GridConnection==1',0,2,4,19,1,0,2);</v>
      </c>
      <c r="AD20" t="s">
        <v>83</v>
      </c>
      <c r="AE20" t="str">
        <f>CONCATENATE("INSERT INTO cscadaeventrules VALUES (",$R20+4000,",'",Elements!$A35,"_Active','",Elements!$A35,".Active","==false',",$D$3,",",$J$5,",",$N$6,",",$A20,",1,0,4);")</f>
        <v>INSERT INTO cscadaeventrules VALUES (4019,'PARK_PlanaDeMaria_Active','PARK_PlanaDeMaria.Active==false',0,4,5,19,1,0,4);</v>
      </c>
      <c r="AF20" t="s">
        <v>83</v>
      </c>
    </row>
    <row r="21" spans="1:32" ht="14.25" x14ac:dyDescent="0.25">
      <c r="A21">
        <v>20</v>
      </c>
      <c r="B21" t="str">
        <f>Elements!C36</f>
        <v>PE PlanaDeZaragoza</v>
      </c>
      <c r="E21" t="s">
        <v>83</v>
      </c>
      <c r="I21" t="s">
        <v>83</v>
      </c>
      <c r="R21" s="1">
        <v>20</v>
      </c>
      <c r="T21" s="9" t="str">
        <f t="shared" si="0"/>
        <v>INSERT INTO cscadaeventsources VALUES (20,'PE PlanaDeZaragoza');</v>
      </c>
      <c r="U21" s="9" t="s">
        <v>83</v>
      </c>
      <c r="X21" t="str">
        <f>CONCATENATE("INSERT INTO cscadaeventrules VALUES (",$R21+6000,",'",Elements!$A36,"_CECOELSetpointMotive','",Elements!$A36,".CECOELSetpointMotive","&gt;0',",$D$3,",",$J$6,",",$N$9,",",$A21,",1,0",",1);")</f>
        <v>INSERT INTO cscadaeventrules VALUES (6020,'PARK_PlanaDeZaragoza_CECOELSetpointMotive','PARK_PlanaDeZaragoza.CECOELSetpointMotive&gt;0',0,5,8,20,1,0,1);</v>
      </c>
      <c r="Y21" t="str">
        <f>CONCATENATE("INSERT INTO cscadaeventrules VALUES (",$R21+7000,",'",Elements!$A36,"_CECORESetpointMotive','",Elements!$A36,".CECORESetpointMotive","&gt;0',",$D$3,",",$J$6,",",$N$10,",",$A21,",1,0",",1);")</f>
        <v>INSERT INTO cscadaeventrules VALUES (7020,'PARK_PlanaDeZaragoza_CECORESetpointMotive','PARK_PlanaDeZaragoza.CECORESetpointMotive&gt;0',0,5,9,20,1,0,1);</v>
      </c>
      <c r="Z21" t="str">
        <f>CONCATENATE("INSERT INTO cscadaeventrules VALUES (",$R21+8000,",'",Elements!$A36,"_CECOELSetpointMotive','",Elements!$A36,".CECOELSetpointMotive","==0',",$D$3,",",$J$6,",",$N$11,",",$A21,",0,0",",5);")</f>
        <v>INSERT INTO cscadaeventrules VALUES (8020,'PARK_PlanaDeZaragoza_CECOELSetpointMotive','PARK_PlanaDeZaragoza.CECOELSetpointMotive==0',0,5,10,20,0,0,5);</v>
      </c>
      <c r="AA21" t="s">
        <v>83</v>
      </c>
      <c r="AB21" t="str">
        <f>CONCATENATE("INSERT INTO cscadaeventrules VALUES (",$R21+2000,",'",Elements!$A36,"_GridConnection','",Elements!$A36,".GridConnection","==0',",$D$3,",",$J$4,",",$N$4,",",$A21,",1,0,3);")</f>
        <v>INSERT INTO cscadaeventrules VALUES (2020,'PARK_PlanaDeZaragoza_GridConnection','PARK_PlanaDeZaragoza.GridConnection==0',0,3,3,20,1,0,3);</v>
      </c>
      <c r="AC21" t="str">
        <f>CONCATENATE("INSERT INTO cscadaeventrules VALUES (",$R21+3000,",'",Elements!$A36,"_GridConnection','",Elements!$A36,".GridConnection","==1',",$D$3,",",$J$3,",",$N$5,",",$A21,",1,0,2);")</f>
        <v>INSERT INTO cscadaeventrules VALUES (3020,'PARK_PlanaDeZaragoza_GridConnection','PARK_PlanaDeZaragoza.GridConnection==1',0,2,4,20,1,0,2);</v>
      </c>
      <c r="AD21" t="s">
        <v>83</v>
      </c>
      <c r="AE21" t="str">
        <f>CONCATENATE("INSERT INTO cscadaeventrules VALUES (",$R21+4000,",'",Elements!$A36,"_Active','",Elements!$A36,".Active","==false',",$D$3,",",$J$5,",",$N$6,",",$A21,",1,0,4);")</f>
        <v>INSERT INTO cscadaeventrules VALUES (4020,'PARK_PlanaDeZaragoza_Active','PARK_PlanaDeZaragoza.Active==false',0,4,5,20,1,0,4);</v>
      </c>
      <c r="AF21" t="s">
        <v>83</v>
      </c>
    </row>
    <row r="22" spans="1:32" x14ac:dyDescent="0.25">
      <c r="A22">
        <v>21</v>
      </c>
      <c r="B22" t="str">
        <f>Elements!C37</f>
        <v>PE Muel</v>
      </c>
      <c r="E22" t="s">
        <v>83</v>
      </c>
      <c r="I22" t="s">
        <v>83</v>
      </c>
      <c r="R22" s="1">
        <v>21</v>
      </c>
      <c r="T22" s="9" t="str">
        <f t="shared" si="0"/>
        <v>INSERT INTO cscadaeventsources VALUES (21,'PE Muel');</v>
      </c>
      <c r="U22" s="9" t="s">
        <v>83</v>
      </c>
      <c r="X22" t="str">
        <f>CONCATENATE("INSERT INTO cscadaeventrules VALUES (",$R22+6000,",'",Elements!$A37,"_CECOELSetpointMotive','",Elements!$A37,".CECOELSetpointMotive","&gt;0',",$D$3,",",$J$6,",",$N$9,",",$A22,",1,0",",1);")</f>
        <v>INSERT INTO cscadaeventrules VALUES (6021,'PARK_Muel_CECOELSetpointMotive','PARK_Muel.CECOELSetpointMotive&gt;0',0,5,8,21,1,0,1);</v>
      </c>
      <c r="Y22" t="str">
        <f>CONCATENATE("INSERT INTO cscadaeventrules VALUES (",$R22+7000,",'",Elements!$A37,"_CECORESetpointMotive','",Elements!$A37,".CECORESetpointMotive","&gt;0',",$D$3,",",$J$6,",",$N$10,",",$A22,",1,0",",1);")</f>
        <v>INSERT INTO cscadaeventrules VALUES (7021,'PARK_Muel_CECORESetpointMotive','PARK_Muel.CECORESetpointMotive&gt;0',0,5,9,21,1,0,1);</v>
      </c>
      <c r="Z22" t="str">
        <f>CONCATENATE("INSERT INTO cscadaeventrules VALUES (",$R22+8000,",'",Elements!$A37,"_CECOELSetpointMotive','",Elements!$A37,".CECOELSetpointMotive","==0',",$D$3,",",$J$6,",",$N$11,",",$A22,",0,0",",5);")</f>
        <v>INSERT INTO cscadaeventrules VALUES (8021,'PARK_Muel_CECOELSetpointMotive','PARK_Muel.CECOELSetpointMotive==0',0,5,10,21,0,0,5);</v>
      </c>
      <c r="AA22" t="s">
        <v>83</v>
      </c>
      <c r="AB22" t="str">
        <f>CONCATENATE("INSERT INTO cscadaeventrules VALUES (",$R22+2000,",'",Elements!$A37,"_GridConnection','",Elements!$A37,".GridConnection","==0',",$D$3,",",$J$4,",",$N$4,",",$A22,",1,0,3);")</f>
        <v>INSERT INTO cscadaeventrules VALUES (2021,'PARK_Muel_GridConnection','PARK_Muel.GridConnection==0',0,3,3,21,1,0,3);</v>
      </c>
      <c r="AC22" t="str">
        <f>CONCATENATE("INSERT INTO cscadaeventrules VALUES (",$R22+3000,",'",Elements!$A37,"_GridConnection','",Elements!$A37,".GridConnection","==1',",$D$3,",",$J$3,",",$N$5,",",$A22,",1,0,2);")</f>
        <v>INSERT INTO cscadaeventrules VALUES (3021,'PARK_Muel_GridConnection','PARK_Muel.GridConnection==1',0,2,4,21,1,0,2);</v>
      </c>
      <c r="AD22" t="s">
        <v>83</v>
      </c>
      <c r="AE22" t="str">
        <f>CONCATENATE("INSERT INTO cscadaeventrules VALUES (",$R22+4000,",'",Elements!$A37,"_Active','",Elements!$A37,".Active","==false',",$D$3,",",$J$5,",",$N$6,",",$A22,",1,0,4);")</f>
        <v>INSERT INTO cscadaeventrules VALUES (4021,'PARK_Muel_Active','PARK_Muel.Active==false',0,4,5,21,1,0,4);</v>
      </c>
      <c r="AF22" t="s">
        <v>83</v>
      </c>
    </row>
    <row r="23" spans="1:32" x14ac:dyDescent="0.25">
      <c r="A23">
        <v>22</v>
      </c>
      <c r="B23" t="str">
        <f>Elements!C38</f>
        <v>PE Lanternoso</v>
      </c>
      <c r="E23" t="s">
        <v>83</v>
      </c>
      <c r="I23" t="s">
        <v>83</v>
      </c>
      <c r="R23" s="1">
        <v>22</v>
      </c>
      <c r="T23" s="9" t="str">
        <f t="shared" si="0"/>
        <v>INSERT INTO cscadaeventsources VALUES (22,'PE Lanternoso');</v>
      </c>
      <c r="U23" s="9" t="s">
        <v>83</v>
      </c>
      <c r="X23" t="str">
        <f>CONCATENATE("INSERT INTO cscadaeventrules VALUES (",$R23+6000,",'",Elements!$A38,"_CECOELSetpointMotive','",Elements!$A38,".CECOELSetpointMotive","&gt;0',",$D$3,",",$J$6,",",$N$9,",",$A23,",1,0",",1);")</f>
        <v>INSERT INTO cscadaeventrules VALUES (6022,'PARK_Lanternoso_CECOELSetpointMotive','PARK_Lanternoso.CECOELSetpointMotive&gt;0',0,5,8,22,1,0,1);</v>
      </c>
      <c r="Y23" t="str">
        <f>CONCATENATE("INSERT INTO cscadaeventrules VALUES (",$R23+7000,",'",Elements!$A38,"_CECORESetpointMotive','",Elements!$A38,".CECORESetpointMotive","&gt;0',",$D$3,",",$J$6,",",$N$10,",",$A23,",1,0",",1);")</f>
        <v>INSERT INTO cscadaeventrules VALUES (7022,'PARK_Lanternoso_CECORESetpointMotive','PARK_Lanternoso.CECORESetpointMotive&gt;0',0,5,9,22,1,0,1);</v>
      </c>
      <c r="Z23" t="str">
        <f>CONCATENATE("INSERT INTO cscadaeventrules VALUES (",$R23+8000,",'",Elements!$A38,"_CECOELSetpointMotive','",Elements!$A38,".CECOELSetpointMotive","==0',",$D$3,",",$J$6,",",$N$11,",",$A23,",0,0",",5);")</f>
        <v>INSERT INTO cscadaeventrules VALUES (8022,'PARK_Lanternoso_CECOELSetpointMotive','PARK_Lanternoso.CECOELSetpointMotive==0',0,5,10,22,0,0,5);</v>
      </c>
      <c r="AA23" t="s">
        <v>83</v>
      </c>
      <c r="AB23" t="str">
        <f>CONCATENATE("INSERT INTO cscadaeventrules VALUES (",$R23+2000,",'",Elements!$A38,"_GridConnection','",Elements!$A38,".GridConnection","==0',",$D$3,",",$J$4,",",$N$4,",",$A23,",1,0,3);")</f>
        <v>INSERT INTO cscadaeventrules VALUES (2022,'PARK_Lanternoso_GridConnection','PARK_Lanternoso.GridConnection==0',0,3,3,22,1,0,3);</v>
      </c>
      <c r="AC23" t="str">
        <f>CONCATENATE("INSERT INTO cscadaeventrules VALUES (",$R23+3000,",'",Elements!$A38,"_GridConnection','",Elements!$A38,".GridConnection","==1',",$D$3,",",$J$3,",",$N$5,",",$A23,",1,0,2);")</f>
        <v>INSERT INTO cscadaeventrules VALUES (3022,'PARK_Lanternoso_GridConnection','PARK_Lanternoso.GridConnection==1',0,2,4,22,1,0,2);</v>
      </c>
      <c r="AD23" t="s">
        <v>83</v>
      </c>
      <c r="AE23" t="str">
        <f>CONCATENATE("INSERT INTO cscadaeventrules VALUES (",$R23+4000,",'",Elements!$A38,"_Active','",Elements!$A38,".Active","==false',",$D$3,",",$J$5,",",$N$6,",",$A23,",1,0,4);")</f>
        <v>INSERT INTO cscadaeventrules VALUES (4022,'PARK_Lanternoso_Active','PARK_Lanternoso.Active==false',0,4,5,22,1,0,4);</v>
      </c>
      <c r="AF23" t="s">
        <v>83</v>
      </c>
    </row>
    <row r="24" spans="1:32" x14ac:dyDescent="0.25">
      <c r="A24">
        <v>23</v>
      </c>
      <c r="B24" t="str">
        <f>Elements!C39</f>
        <v>PE Aldehuelas</v>
      </c>
      <c r="E24" t="s">
        <v>83</v>
      </c>
      <c r="I24" t="s">
        <v>83</v>
      </c>
      <c r="R24" s="1">
        <v>23</v>
      </c>
      <c r="T24" s="9" t="str">
        <f t="shared" si="0"/>
        <v>INSERT INTO cscadaeventsources VALUES (23,'PE Aldehuelas');</v>
      </c>
      <c r="U24" s="9" t="s">
        <v>83</v>
      </c>
      <c r="X24" t="str">
        <f>CONCATENATE("INSERT INTO cscadaeventrules VALUES (",$R24+6000,",'",Elements!$A39,"_CECOELSetpointMotive','",Elements!$A39,".CECOELSetpointMotive","&gt;0',",$D$3,",",$J$6,",",$N$9,",",$A24,",1,0",",1);")</f>
        <v>INSERT INTO cscadaeventrules VALUES (6023,'PARK_Aldehuelas_CECOELSetpointMotive','PARK_Aldehuelas.CECOELSetpointMotive&gt;0',0,5,8,23,1,0,1);</v>
      </c>
      <c r="Y24" t="str">
        <f>CONCATENATE("INSERT INTO cscadaeventrules VALUES (",$R24+7000,",'",Elements!$A39,"_CECORESetpointMotive','",Elements!$A39,".CECORESetpointMotive","&gt;0',",$D$3,",",$J$6,",",$N$10,",",$A24,",1,0",",1);")</f>
        <v>INSERT INTO cscadaeventrules VALUES (7023,'PARK_Aldehuelas_CECORESetpointMotive','PARK_Aldehuelas.CECORESetpointMotive&gt;0',0,5,9,23,1,0,1);</v>
      </c>
      <c r="Z24" t="str">
        <f>CONCATENATE("INSERT INTO cscadaeventrules VALUES (",$R24+8000,",'",Elements!$A39,"_CECOELSetpointMotive','",Elements!$A39,".CECOELSetpointMotive","==0',",$D$3,",",$J$6,",",$N$11,",",$A24,",0,0",",5);")</f>
        <v>INSERT INTO cscadaeventrules VALUES (8023,'PARK_Aldehuelas_CECOELSetpointMotive','PARK_Aldehuelas.CECOELSetpointMotive==0',0,5,10,23,0,0,5);</v>
      </c>
      <c r="AA24" t="s">
        <v>83</v>
      </c>
      <c r="AB24" t="str">
        <f>CONCATENATE("INSERT INTO cscadaeventrules VALUES (",$R24+2000,",'",Elements!$A39,"_GridConnection','",Elements!$A39,".GridConnection","==0',",$D$3,",",$J$4,",",$N$4,",",$A24,",1,0,3);")</f>
        <v>INSERT INTO cscadaeventrules VALUES (2023,'PARK_Aldehuelas_GridConnection','PARK_Aldehuelas.GridConnection==0',0,3,3,23,1,0,3);</v>
      </c>
      <c r="AC24" t="str">
        <f>CONCATENATE("INSERT INTO cscadaeventrules VALUES (",$R24+3000,",'",Elements!$A39,"_GridConnection','",Elements!$A39,".GridConnection","==1',",$D$3,",",$J$3,",",$N$5,",",$A24,",1,0,2);")</f>
        <v>INSERT INTO cscadaeventrules VALUES (3023,'PARK_Aldehuelas_GridConnection','PARK_Aldehuelas.GridConnection==1',0,2,4,23,1,0,2);</v>
      </c>
      <c r="AD24" t="s">
        <v>83</v>
      </c>
      <c r="AE24" t="str">
        <f>CONCATENATE("INSERT INTO cscadaeventrules VALUES (",$R24+4000,",'",Elements!$A39,"_Active','",Elements!$A39,".Active","==false',",$D$3,",",$J$5,",",$N$6,",",$A24,",1,0,4);")</f>
        <v>INSERT INTO cscadaeventrules VALUES (4023,'PARK_Aldehuelas_Active','PARK_Aldehuelas.Active==false',0,4,5,23,1,0,4);</v>
      </c>
      <c r="AF24" t="s">
        <v>83</v>
      </c>
    </row>
    <row r="25" spans="1:32" x14ac:dyDescent="0.25">
      <c r="A25">
        <v>24</v>
      </c>
      <c r="B25" t="str">
        <f>Elements!C40</f>
        <v>PE Urano</v>
      </c>
      <c r="E25" t="s">
        <v>83</v>
      </c>
      <c r="I25" t="s">
        <v>83</v>
      </c>
      <c r="R25" s="1">
        <v>24</v>
      </c>
      <c r="T25" s="9" t="str">
        <f t="shared" si="0"/>
        <v>INSERT INTO cscadaeventsources VALUES (24,'PE Urano');</v>
      </c>
      <c r="U25" s="9" t="s">
        <v>83</v>
      </c>
      <c r="X25" t="str">
        <f>CONCATENATE("INSERT INTO cscadaeventrules VALUES (",$R25+6000,",'",Elements!$A40,"_CECOELSetpointMotive','",Elements!$A40,".CECOELSetpointMotive","&gt;0',",$D$3,",",$J$6,",",$N$9,",",$A25,",1,0",",1);")</f>
        <v>INSERT INTO cscadaeventrules VALUES (6024,'PARK_Urano_CECOELSetpointMotive','PARK_Urano.CECOELSetpointMotive&gt;0',0,5,8,24,1,0,1);</v>
      </c>
      <c r="Y25" t="str">
        <f>CONCATENATE("INSERT INTO cscadaeventrules VALUES (",$R25+7000,",'",Elements!$A40,"_CECORESetpointMotive','",Elements!$A40,".CECORESetpointMotive","&gt;0',",$D$3,",",$J$6,",",$N$10,",",$A25,",1,0",",1);")</f>
        <v>INSERT INTO cscadaeventrules VALUES (7024,'PARK_Urano_CECORESetpointMotive','PARK_Urano.CECORESetpointMotive&gt;0',0,5,9,24,1,0,1);</v>
      </c>
      <c r="Z25" t="str">
        <f>CONCATENATE("INSERT INTO cscadaeventrules VALUES (",$R25+8000,",'",Elements!$A40,"_CECOELSetpointMotive','",Elements!$A40,".CECOELSetpointMotive","==0',",$D$3,",",$J$6,",",$N$11,",",$A25,",0,0",",5);")</f>
        <v>INSERT INTO cscadaeventrules VALUES (8024,'PARK_Urano_CECOELSetpointMotive','PARK_Urano.CECOELSetpointMotive==0',0,5,10,24,0,0,5);</v>
      </c>
      <c r="AA25" t="s">
        <v>83</v>
      </c>
      <c r="AB25" t="str">
        <f>CONCATENATE("INSERT INTO cscadaeventrules VALUES (",$R25+2000,",'",Elements!$A40,"_GridConnection','",Elements!$A40,".GridConnection","==0',",$D$3,",",$J$4,",",$N$4,",",$A25,",1,0,3);")</f>
        <v>INSERT INTO cscadaeventrules VALUES (2024,'PARK_Urano_GridConnection','PARK_Urano.GridConnection==0',0,3,3,24,1,0,3);</v>
      </c>
      <c r="AC25" t="str">
        <f>CONCATENATE("INSERT INTO cscadaeventrules VALUES (",$R25+3000,",'",Elements!$A40,"_GridConnection','",Elements!$A40,".GridConnection","==1',",$D$3,",",$J$3,",",$N$5,",",$A25,",1,0,2);")</f>
        <v>INSERT INTO cscadaeventrules VALUES (3024,'PARK_Urano_GridConnection','PARK_Urano.GridConnection==1',0,2,4,24,1,0,2);</v>
      </c>
      <c r="AD25" t="s">
        <v>83</v>
      </c>
      <c r="AE25" t="str">
        <f>CONCATENATE("INSERT INTO cscadaeventrules VALUES (",$R25+4000,",'",Elements!$A40,"_Active','",Elements!$A40,".Active","==false',",$D$3,",",$J$5,",",$N$6,",",$A25,",1,0,4);")</f>
        <v>INSERT INTO cscadaeventrules VALUES (4024,'PARK_Urano_Active','PARK_Urano.Active==false',0,4,5,24,1,0,4);</v>
      </c>
      <c r="AF25" t="s">
        <v>83</v>
      </c>
    </row>
    <row r="26" spans="1:32" x14ac:dyDescent="0.25">
      <c r="A26">
        <v>25</v>
      </c>
      <c r="B26" t="str">
        <f>Elements!C41</f>
        <v>PE Juno</v>
      </c>
      <c r="E26" t="s">
        <v>83</v>
      </c>
      <c r="I26" t="s">
        <v>83</v>
      </c>
      <c r="R26" s="1">
        <v>25</v>
      </c>
      <c r="T26" s="9" t="str">
        <f t="shared" si="0"/>
        <v>INSERT INTO cscadaeventsources VALUES (25,'PE Juno');</v>
      </c>
      <c r="U26" s="9" t="s">
        <v>83</v>
      </c>
      <c r="X26" t="str">
        <f>CONCATENATE("INSERT INTO cscadaeventrules VALUES (",$R26+6000,",'",Elements!$A41,"_CECOELSetpointMotive','",Elements!$A41,".CECOELSetpointMotive","&gt;0',",$D$3,",",$J$6,",",$N$9,",",$A26,",1,0",",1);")</f>
        <v>INSERT INTO cscadaeventrules VALUES (6025,'PARK_Juno_CECOELSetpointMotive','PARK_Juno.CECOELSetpointMotive&gt;0',0,5,8,25,1,0,1);</v>
      </c>
      <c r="Y26" t="str">
        <f>CONCATENATE("INSERT INTO cscadaeventrules VALUES (",$R26+7000,",'",Elements!$A41,"_CECORESetpointMotive','",Elements!$A41,".CECORESetpointMotive","&gt;0',",$D$3,",",$J$6,",",$N$10,",",$A26,",1,0",",1);")</f>
        <v>INSERT INTO cscadaeventrules VALUES (7025,'PARK_Juno_CECORESetpointMotive','PARK_Juno.CECORESetpointMotive&gt;0',0,5,9,25,1,0,1);</v>
      </c>
      <c r="Z26" t="str">
        <f>CONCATENATE("INSERT INTO cscadaeventrules VALUES (",$R26+8000,",'",Elements!$A41,"_CECOELSetpointMotive','",Elements!$A41,".CECOELSetpointMotive","==0',",$D$3,",",$J$6,",",$N$11,",",$A26,",0,0",",5);")</f>
        <v>INSERT INTO cscadaeventrules VALUES (8025,'PARK_Juno_CECOELSetpointMotive','PARK_Juno.CECOELSetpointMotive==0',0,5,10,25,0,0,5);</v>
      </c>
      <c r="AA26" t="s">
        <v>83</v>
      </c>
      <c r="AB26" t="str">
        <f>CONCATENATE("INSERT INTO cscadaeventrules VALUES (",$R26+2000,",'",Elements!$A41,"_GridConnection','",Elements!$A41,".GridConnection","==0',",$D$3,",",$J$4,",",$N$4,",",$A26,",1,0,3);")</f>
        <v>INSERT INTO cscadaeventrules VALUES (2025,'PARK_Juno_GridConnection','PARK_Juno.GridConnection==0',0,3,3,25,1,0,3);</v>
      </c>
      <c r="AC26" t="str">
        <f>CONCATENATE("INSERT INTO cscadaeventrules VALUES (",$R26+3000,",'",Elements!$A41,"_GridConnection','",Elements!$A41,".GridConnection","==1',",$D$3,",",$J$3,",",$N$5,",",$A26,",1,0,2);")</f>
        <v>INSERT INTO cscadaeventrules VALUES (3025,'PARK_Juno_GridConnection','PARK_Juno.GridConnection==1',0,2,4,25,1,0,2);</v>
      </c>
      <c r="AD26" t="s">
        <v>83</v>
      </c>
      <c r="AE26" t="str">
        <f>CONCATENATE("INSERT INTO cscadaeventrules VALUES (",$R26+4000,",'",Elements!$A41,"_Active','",Elements!$A41,".Active","==false',",$D$3,",",$J$5,",",$N$6,",",$A26,",1,0,4);")</f>
        <v>INSERT INTO cscadaeventrules VALUES (4025,'PARK_Juno_Active','PARK_Juno.Active==false',0,4,5,25,1,0,4);</v>
      </c>
      <c r="AF26" t="s">
        <v>83</v>
      </c>
    </row>
    <row r="27" spans="1:32" x14ac:dyDescent="0.25">
      <c r="A27">
        <v>26</v>
      </c>
      <c r="B27" t="str">
        <f>Elements!C42</f>
        <v>PE Luna</v>
      </c>
      <c r="E27" t="s">
        <v>83</v>
      </c>
      <c r="I27" t="s">
        <v>83</v>
      </c>
      <c r="R27" s="1">
        <v>26</v>
      </c>
      <c r="T27" s="9" t="str">
        <f t="shared" si="0"/>
        <v>INSERT INTO cscadaeventsources VALUES (26,'PE Luna');</v>
      </c>
      <c r="U27" s="9" t="s">
        <v>83</v>
      </c>
      <c r="X27" t="str">
        <f>CONCATENATE("INSERT INTO cscadaeventrules VALUES (",$R27+6000,",'",Elements!$A42,"_CECOELSetpointMotive','",Elements!$A42,".CECOELSetpointMotive","&gt;0',",$D$3,",",$J$6,",",$N$9,",",$A27,",1,0",",1);")</f>
        <v>INSERT INTO cscadaeventrules VALUES (6026,'PARK_Luna_CECOELSetpointMotive','PARK_Luna.CECOELSetpointMotive&gt;0',0,5,8,26,1,0,1);</v>
      </c>
      <c r="Y27" t="str">
        <f>CONCATENATE("INSERT INTO cscadaeventrules VALUES (",$R27+7000,",'",Elements!$A42,"_CECORESetpointMotive','",Elements!$A42,".CECORESetpointMotive","&gt;0',",$D$3,",",$J$6,",",$N$10,",",$A27,",1,0",",1);")</f>
        <v>INSERT INTO cscadaeventrules VALUES (7026,'PARK_Luna_CECORESetpointMotive','PARK_Luna.CECORESetpointMotive&gt;0',0,5,9,26,1,0,1);</v>
      </c>
      <c r="Z27" t="str">
        <f>CONCATENATE("INSERT INTO cscadaeventrules VALUES (",$R27+8000,",'",Elements!$A42,"_CECOELSetpointMotive','",Elements!$A42,".CECOELSetpointMotive","==0',",$D$3,",",$J$6,",",$N$11,",",$A27,",0,0",",5);")</f>
        <v>INSERT INTO cscadaeventrules VALUES (8026,'PARK_Luna_CECOELSetpointMotive','PARK_Luna.CECOELSetpointMotive==0',0,5,10,26,0,0,5);</v>
      </c>
      <c r="AA27" t="s">
        <v>83</v>
      </c>
      <c r="AB27" t="str">
        <f>CONCATENATE("INSERT INTO cscadaeventrules VALUES (",$R27+2000,",'",Elements!$A42,"_GridConnection','",Elements!$A42,".GridConnection","==0',",$D$3,",",$J$4,",",$N$4,",",$A27,",1,0,3);")</f>
        <v>INSERT INTO cscadaeventrules VALUES (2026,'PARK_Luna_GridConnection','PARK_Luna.GridConnection==0',0,3,3,26,1,0,3);</v>
      </c>
      <c r="AC27" t="str">
        <f>CONCATENATE("INSERT INTO cscadaeventrules VALUES (",$R27+3000,",'",Elements!$A42,"_GridConnection','",Elements!$A42,".GridConnection","==1',",$D$3,",",$J$3,",",$N$5,",",$A27,",1,0,2);")</f>
        <v>INSERT INTO cscadaeventrules VALUES (3026,'PARK_Luna_GridConnection','PARK_Luna.GridConnection==1',0,2,4,26,1,0,2);</v>
      </c>
      <c r="AD27" t="s">
        <v>83</v>
      </c>
      <c r="AE27" t="str">
        <f>CONCATENATE("INSERT INTO cscadaeventrules VALUES (",$R27+4000,",'",Elements!$A42,"_Active','",Elements!$A42,".Active","==false',",$D$3,",",$J$5,",",$N$6,",",$A27,",1,0,4);")</f>
        <v>INSERT INTO cscadaeventrules VALUES (4026,'PARK_Luna_Active','PARK_Luna.Active==false',0,4,5,26,1,0,4);</v>
      </c>
      <c r="AF27" t="s">
        <v>83</v>
      </c>
    </row>
    <row r="28" spans="1:32" x14ac:dyDescent="0.25">
      <c r="A28">
        <v>27</v>
      </c>
      <c r="B28" t="str">
        <f>Elements!C43</f>
        <v>CH VillalGordo</v>
      </c>
      <c r="E28" t="s">
        <v>83</v>
      </c>
      <c r="I28" t="s">
        <v>83</v>
      </c>
      <c r="R28" s="13">
        <v>27</v>
      </c>
      <c r="T28" s="9" t="str">
        <f t="shared" si="0"/>
        <v>INSERT INTO cscadaeventsources VALUES (27,'CH VillalGordo');</v>
      </c>
      <c r="U28" s="9" t="s">
        <v>83</v>
      </c>
      <c r="X28" t="str">
        <f>CONCATENATE("INSERT INTO cscadaeventrules VALUES (",$R28+6000,",'",Elements!$A43,"_CECOELSetpointMotive','",Elements!$A43,".CECOELSetpointMotive","&gt;0',",$D$3,",",$J$6,",",$N$9,",",$A28,",1,0",",1);")</f>
        <v>INSERT INTO cscadaeventrules VALUES (6027,'HYDRO_Villalgordo_CECOELSetpointMotive','HYDRO_Villalgordo.CECOELSetpointMotive&gt;0',0,5,8,27,1,0,1);</v>
      </c>
      <c r="Y28" t="str">
        <f>CONCATENATE("INSERT INTO cscadaeventrules VALUES (",$R28+7000,",'",Elements!$A43,"_CECORESetpointMotive','",Elements!$A43,".CECORESetpointMotive","&gt;0',",$D$3,",",$J$6,",",$N$10,",",$A28,",1,0",",1);")</f>
        <v>INSERT INTO cscadaeventrules VALUES (7027,'HYDRO_Villalgordo_CECORESetpointMotive','HYDRO_Villalgordo.CECORESetpointMotive&gt;0',0,5,9,27,1,0,1);</v>
      </c>
      <c r="Z28" t="str">
        <f>CONCATENATE("INSERT INTO cscadaeventrules VALUES (",$R28+8000,",'",Elements!$A43,"_CECOELSetpointMotive','",Elements!$A43,".CECOELSetpointMotive","==0',",$D$3,",",$J$6,",",$N$11,",",$A28,",0,0",",5);")</f>
        <v>INSERT INTO cscadaeventrules VALUES (8027,'HYDRO_Villalgordo_CECOELSetpointMotive','HYDRO_Villalgordo.CECOELSetpointMotive==0',0,5,10,27,0,0,5);</v>
      </c>
      <c r="AA28" t="s">
        <v>83</v>
      </c>
      <c r="AB28" t="str">
        <f>CONCATENATE("INSERT INTO cscadaeventrules VALUES (",$R28+2000,",'",Elements!$A43,"_GridConnection','",Elements!$A43,".GridConnection","==0',",$D$3,",",$J$4,",",$N$4,",",$A28,",1,0,3);")</f>
        <v>INSERT INTO cscadaeventrules VALUES (2027,'HYDRO_Villalgordo_GridConnection','HYDRO_Villalgordo.GridConnection==0',0,3,3,27,1,0,3);</v>
      </c>
      <c r="AC28" t="str">
        <f>CONCATENATE("INSERT INTO cscadaeventrules VALUES (",$R28+3000,",'",Elements!$A43,"_GridConnection','",Elements!$A43,".GridConnection","==1',",$D$3,",",$J$3,",",$N$5,",",$A28,",1,0,2);")</f>
        <v>INSERT INTO cscadaeventrules VALUES (3027,'HYDRO_Villalgordo_GridConnection','HYDRO_Villalgordo.GridConnection==1',0,2,4,27,1,0,2);</v>
      </c>
      <c r="AD28" t="s">
        <v>83</v>
      </c>
      <c r="AE28" t="str">
        <f>CONCATENATE("INSERT INTO cscadaeventrules VALUES (",$R28+4000,",'",Elements!$A43,"_Active','",Elements!$A43,".Active","==false',",$D$3,",",$J$5,",",$N$6,",",$A28,",1,0,4);")</f>
        <v>INSERT INTO cscadaeventrules VALUES (4027,'HYDRO_Villalgordo_Active','HYDRO_Villalgordo.Active==false',0,4,5,27,1,0,4);</v>
      </c>
      <c r="AF28" t="s">
        <v>83</v>
      </c>
    </row>
    <row r="29" spans="1:32" x14ac:dyDescent="0.25">
      <c r="A29">
        <v>28</v>
      </c>
      <c r="B29" t="str">
        <f>Elements!C44</f>
        <v>CH Cepeda</v>
      </c>
      <c r="E29" t="s">
        <v>83</v>
      </c>
      <c r="I29" t="s">
        <v>83</v>
      </c>
      <c r="R29" s="13">
        <v>28</v>
      </c>
      <c r="T29" s="9" t="str">
        <f t="shared" si="0"/>
        <v>INSERT INTO cscadaeventsources VALUES (28,'CH Cepeda');</v>
      </c>
      <c r="U29" s="9" t="s">
        <v>83</v>
      </c>
      <c r="X29" t="str">
        <f>CONCATENATE("INSERT INTO cscadaeventrules VALUES (",$R29+6000,",'",Elements!$A44,"_CECOELSetpointMotive','",Elements!$A44,".CECOELSetpointMotive","&gt;0',",$D$3,",",$J$6,",",$N$9,",",$A29,",1,0",",1);")</f>
        <v>INSERT INTO cscadaeventrules VALUES (6028,'HYDRO_Cepeda_CECOELSetpointMotive','HYDRO_Cepeda.CECOELSetpointMotive&gt;0',0,5,8,28,1,0,1);</v>
      </c>
      <c r="Y29" t="str">
        <f>CONCATENATE("INSERT INTO cscadaeventrules VALUES (",$R29+7000,",'",Elements!$A44,"_CECORESetpointMotive','",Elements!$A44,".CECORESetpointMotive","&gt;0',",$D$3,",",$J$6,",",$N$10,",",$A29,",1,0",",1);")</f>
        <v>INSERT INTO cscadaeventrules VALUES (7028,'HYDRO_Cepeda_CECORESetpointMotive','HYDRO_Cepeda.CECORESetpointMotive&gt;0',0,5,9,28,1,0,1);</v>
      </c>
      <c r="Z29" t="str">
        <f>CONCATENATE("INSERT INTO cscadaeventrules VALUES (",$R29+8000,",'",Elements!$A44,"_CECOELSetpointMotive','",Elements!$A44,".CECOELSetpointMotive","==0',",$D$3,",",$J$6,",",$N$11,",",$A29,",0,0",",5);")</f>
        <v>INSERT INTO cscadaeventrules VALUES (8028,'HYDRO_Cepeda_CECOELSetpointMotive','HYDRO_Cepeda.CECOELSetpointMotive==0',0,5,10,28,0,0,5);</v>
      </c>
      <c r="AA29" t="s">
        <v>83</v>
      </c>
      <c r="AB29" t="str">
        <f>CONCATENATE("INSERT INTO cscadaeventrules VALUES (",$R29+2000,",'",Elements!$A44,"_GridConnection','",Elements!$A44,".GridConnection","==0',",$D$3,",",$J$4,",",$N$4,",",$A29,",1,0,3);")</f>
        <v>INSERT INTO cscadaeventrules VALUES (2028,'HYDRO_Cepeda_GridConnection','HYDRO_Cepeda.GridConnection==0',0,3,3,28,1,0,3);</v>
      </c>
      <c r="AC29" t="str">
        <f>CONCATENATE("INSERT INTO cscadaeventrules VALUES (",$R29+3000,",'",Elements!$A44,"_GridConnection','",Elements!$A44,".GridConnection","==1',",$D$3,",",$J$3,",",$N$5,",",$A29,",1,0,2);")</f>
        <v>INSERT INTO cscadaeventrules VALUES (3028,'HYDRO_Cepeda_GridConnection','HYDRO_Cepeda.GridConnection==1',0,2,4,28,1,0,2);</v>
      </c>
      <c r="AD29" t="s">
        <v>83</v>
      </c>
      <c r="AE29" t="str">
        <f>CONCATENATE("INSERT INTO cscadaeventrules VALUES (",$R29+4000,",'",Elements!$A44,"_Active','",Elements!$A44,".Active","==false',",$D$3,",",$J$5,",",$N$6,",",$A29,",1,0,4);")</f>
        <v>INSERT INTO cscadaeventrules VALUES (4028,'HYDRO_Cepeda_Active','HYDRO_Cepeda.Active==false',0,4,5,28,1,0,4);</v>
      </c>
      <c r="AF29" t="s">
        <v>83</v>
      </c>
    </row>
    <row r="30" spans="1:32" x14ac:dyDescent="0.25">
      <c r="A30">
        <v>29</v>
      </c>
      <c r="B30" t="str">
        <f>Elements!C45</f>
        <v>CH Chomba</v>
      </c>
      <c r="E30" t="s">
        <v>83</v>
      </c>
      <c r="I30" t="s">
        <v>83</v>
      </c>
      <c r="R30" s="13">
        <v>29</v>
      </c>
      <c r="T30" s="9" t="str">
        <f t="shared" si="0"/>
        <v>INSERT INTO cscadaeventsources VALUES (29,'CH Chomba');</v>
      </c>
      <c r="U30" s="9" t="s">
        <v>83</v>
      </c>
      <c r="X30" t="str">
        <f>CONCATENATE("INSERT INTO cscadaeventrules VALUES (",$R30+6000,",'",Elements!$A45,"_CECOELSetpointMotive','",Elements!$A45,".CECOELSetpointMotive","&gt;0',",$D$3,",",$J$6,",",$N$9,",",$A30,",1,0",",1);")</f>
        <v>INSERT INTO cscadaeventrules VALUES (6029,'HYDRO_Chomba_CECOELSetpointMotive','HYDRO_Chomba.CECOELSetpointMotive&gt;0',0,5,8,29,1,0,1);</v>
      </c>
      <c r="Y30" t="str">
        <f>CONCATENATE("INSERT INTO cscadaeventrules VALUES (",$R30+7000,",'",Elements!$A45,"_CECORESetpointMotive','",Elements!$A45,".CECORESetpointMotive","&gt;0',",$D$3,",",$J$6,",",$N$10,",",$A30,",1,0",",1);")</f>
        <v>INSERT INTO cscadaeventrules VALUES (7029,'HYDRO_Chomba_CECORESetpointMotive','HYDRO_Chomba.CECORESetpointMotive&gt;0',0,5,9,29,1,0,1);</v>
      </c>
      <c r="Z30" t="str">
        <f>CONCATENATE("INSERT INTO cscadaeventrules VALUES (",$R30+8000,",'",Elements!$A45,"_CECOELSetpointMotive','",Elements!$A45,".CECOELSetpointMotive","==0',",$D$3,",",$J$6,",",$N$11,",",$A30,",0,0",",5);")</f>
        <v>INSERT INTO cscadaeventrules VALUES (8029,'HYDRO_Chomba_CECOELSetpointMotive','HYDRO_Chomba.CECOELSetpointMotive==0',0,5,10,29,0,0,5);</v>
      </c>
      <c r="AA30" t="s">
        <v>83</v>
      </c>
      <c r="AB30" t="str">
        <f>CONCATENATE("INSERT INTO cscadaeventrules VALUES (",$R30+2000,",'",Elements!$A45,"_GridConnection','",Elements!$A45,".GridConnection","==0',",$D$3,",",$J$4,",",$N$4,",",$A30,",1,0,3);")</f>
        <v>INSERT INTO cscadaeventrules VALUES (2029,'HYDRO_Chomba_GridConnection','HYDRO_Chomba.GridConnection==0',0,3,3,29,1,0,3);</v>
      </c>
      <c r="AC30" t="str">
        <f>CONCATENATE("INSERT INTO cscadaeventrules VALUES (",$R30+3000,",'",Elements!$A45,"_GridConnection','",Elements!$A45,".GridConnection","==1',",$D$3,",",$J$3,",",$N$5,",",$A30,",1,0,2);")</f>
        <v>INSERT INTO cscadaeventrules VALUES (3029,'HYDRO_Chomba_GridConnection','HYDRO_Chomba.GridConnection==1',0,2,4,29,1,0,2);</v>
      </c>
      <c r="AD30" t="s">
        <v>83</v>
      </c>
      <c r="AE30" t="str">
        <f>CONCATENATE("INSERT INTO cscadaeventrules VALUES (",$R30+4000,",'",Elements!$A45,"_Active','",Elements!$A45,".Active","==false',",$D$3,",",$J$5,",",$N$6,",",$A30,",1,0,4);")</f>
        <v>INSERT INTO cscadaeventrules VALUES (4029,'HYDRO_Chomba_Active','HYDRO_Chomba.Active==false',0,4,5,29,1,0,4);</v>
      </c>
      <c r="AF30" t="s">
        <v>83</v>
      </c>
    </row>
    <row r="31" spans="1:32" x14ac:dyDescent="0.25">
      <c r="A31">
        <v>30</v>
      </c>
      <c r="B31" t="str">
        <f>Elements!C46</f>
        <v>CH La Mora</v>
      </c>
      <c r="E31" t="s">
        <v>83</v>
      </c>
      <c r="I31" t="s">
        <v>83</v>
      </c>
      <c r="R31" s="13">
        <v>30</v>
      </c>
      <c r="T31" s="9" t="str">
        <f t="shared" si="0"/>
        <v>INSERT INTO cscadaeventsources VALUES (30,'CH La Mora');</v>
      </c>
      <c r="U31" s="9" t="s">
        <v>83</v>
      </c>
      <c r="X31" t="str">
        <f>CONCATENATE("INSERT INTO cscadaeventrules VALUES (",$R31+6000,",'",Elements!$A46,"_CECOELSetpointMotive','",Elements!$A46,".CECOELSetpointMotive","&gt;0',",$D$3,",",$J$6,",",$N$9,",",$A31,",1,0",",1);")</f>
        <v>INSERT INTO cscadaeventrules VALUES (6030,'HYDRO_LaMora_CECOELSetpointMotive','HYDRO_LaMora.CECOELSetpointMotive&gt;0',0,5,8,30,1,0,1);</v>
      </c>
      <c r="Y31" t="str">
        <f>CONCATENATE("INSERT INTO cscadaeventrules VALUES (",$R31+7000,",'",Elements!$A46,"_CECORESetpointMotive','",Elements!$A46,".CECORESetpointMotive","&gt;0',",$D$3,",",$J$6,",",$N$10,",",$A31,",1,0",",1);")</f>
        <v>INSERT INTO cscadaeventrules VALUES (7030,'HYDRO_LaMora_CECORESetpointMotive','HYDRO_LaMora.CECORESetpointMotive&gt;0',0,5,9,30,1,0,1);</v>
      </c>
      <c r="Z31" t="str">
        <f>CONCATENATE("INSERT INTO cscadaeventrules VALUES (",$R31+8000,",'",Elements!$A46,"_CECOELSetpointMotive','",Elements!$A46,".CECOELSetpointMotive","==0',",$D$3,",",$J$6,",",$N$11,",",$A31,",0,0",",5);")</f>
        <v>INSERT INTO cscadaeventrules VALUES (8030,'HYDRO_LaMora_CECOELSetpointMotive','HYDRO_LaMora.CECOELSetpointMotive==0',0,5,10,30,0,0,5);</v>
      </c>
      <c r="AA31" t="s">
        <v>83</v>
      </c>
      <c r="AB31" t="str">
        <f>CONCATENATE("INSERT INTO cscadaeventrules VALUES (",$R31+2000,",'",Elements!$A46,"_GridConnection','",Elements!$A46,".GridConnection","==0',",$D$3,",",$J$4,",",$N$4,",",$A31,",1,0,3);")</f>
        <v>INSERT INTO cscadaeventrules VALUES (2030,'HYDRO_LaMora_GridConnection','HYDRO_LaMora.GridConnection==0',0,3,3,30,1,0,3);</v>
      </c>
      <c r="AC31" t="str">
        <f>CONCATENATE("INSERT INTO cscadaeventrules VALUES (",$R31+3000,",'",Elements!$A46,"_GridConnection','",Elements!$A46,".GridConnection","==1',",$D$3,",",$J$3,",",$N$5,",",$A31,",1,0,2);")</f>
        <v>INSERT INTO cscadaeventrules VALUES (3030,'HYDRO_LaMora_GridConnection','HYDRO_LaMora.GridConnection==1',0,2,4,30,1,0,2);</v>
      </c>
      <c r="AD31" t="s">
        <v>83</v>
      </c>
      <c r="AE31" t="str">
        <f>CONCATENATE("INSERT INTO cscadaeventrules VALUES (",$R31+4000,",'",Elements!$A46,"_Active','",Elements!$A46,".Active","==false',",$D$3,",",$J$5,",",$N$6,",",$A31,",1,0,4);")</f>
        <v>INSERT INTO cscadaeventrules VALUES (4030,'HYDRO_LaMora_Active','HYDRO_LaMora.Active==false',0,4,5,30,1,0,4);</v>
      </c>
    </row>
    <row r="32" spans="1:32" x14ac:dyDescent="0.25">
      <c r="A32">
        <v>31</v>
      </c>
      <c r="B32" t="str">
        <f>Elements!C47</f>
        <v>NU Lastras</v>
      </c>
      <c r="E32" t="s">
        <v>83</v>
      </c>
      <c r="I32" t="s">
        <v>83</v>
      </c>
      <c r="R32" s="18">
        <v>31</v>
      </c>
      <c r="S32" s="18"/>
      <c r="T32" s="9" t="str">
        <f>CONCATENATE("INSERT INTO cscadaeventsources VALUES (",A32,",'",B32,"');")</f>
        <v>INSERT INTO cscadaeventsources VALUES (31,'NU Lastras');</v>
      </c>
      <c r="U32" s="9" t="s">
        <v>83</v>
      </c>
      <c r="X32" t="str">
        <f>CONCATENATE("INSERT INTO cscadaeventrules VALUES (",$R32+6000,",'",Elements!$A47,"_CECOELSetpointMotive','",Elements!$A47,".CECOELSetpointMotive","&gt;0',",$D$3,",",$J$6,",",$N$9,",",$A32,",1,0",",1);")</f>
        <v>INSERT INTO cscadaeventrules VALUES (6031,'NODE_Lastras_CECOELSetpointMotive','NODE_Lastras.CECOELSetpointMotive&gt;0',0,5,8,31,1,0,1);</v>
      </c>
      <c r="Y32" t="str">
        <f>CONCATENATE("INSERT INTO cscadaeventrules VALUES (",$R32+7000,",'",Elements!$A47,"_CECORESetpointMotive','",Elements!$A47,".CECORESetpointMotive","&gt;0',",$D$3,",",$J$6,",",$N$10,",",$A32,",1,0",",1);")</f>
        <v>INSERT INTO cscadaeventrules VALUES (7031,'NODE_Lastras_CECORESetpointMotive','NODE_Lastras.CECORESetpointMotive&gt;0',0,5,9,31,1,0,1);</v>
      </c>
      <c r="Z32" t="str">
        <f>CONCATENATE("INSERT INTO cscadaeventrules VALUES (",$R32+8000,",'",Elements!$A47,"_CECOELSetpointMotive','",Elements!$A47,".CECOELSetpointMotive","==0',",$D$3,",",$J$6,",",$N$11,",",$A32,",0,0",",5);")</f>
        <v>INSERT INTO cscadaeventrules VALUES (8031,'NODE_Lastras_CECOELSetpointMotive','NODE_Lastras.CECOELSetpointMotive==0',0,5,10,31,0,0,5);</v>
      </c>
      <c r="AA32" t="s">
        <v>83</v>
      </c>
    </row>
    <row r="33" spans="1:31" x14ac:dyDescent="0.25">
      <c r="A33">
        <v>32</v>
      </c>
      <c r="B33" t="str">
        <f>Elements!C48</f>
        <v>NU Sienra</v>
      </c>
      <c r="E33" t="s">
        <v>83</v>
      </c>
      <c r="I33" t="s">
        <v>83</v>
      </c>
      <c r="R33" s="18">
        <v>32</v>
      </c>
      <c r="S33" s="18"/>
      <c r="T33" s="9" t="str">
        <f>CONCATENATE("INSERT INTO cscadaeventsources VALUES (",A33,",'",B33,"');")</f>
        <v>INSERT INTO cscadaeventsources VALUES (32,'NU Sienra');</v>
      </c>
      <c r="U33" s="9" t="s">
        <v>83</v>
      </c>
      <c r="X33" t="str">
        <f>CONCATENATE("INSERT INTO cscadaeventrules VALUES (",$R33+6000,",'",Elements!$A48,"_CECOELSetpointMotive','",Elements!$A48,".CECOELSetpointMotive","&gt;0',",$D$3,",",$J$6,",",$N$9,",",$A33,",1,0",",1);")</f>
        <v>INSERT INTO cscadaeventrules VALUES (6032,'NODE_Sienra_CECOELSetpointMotive','NODE_Sienra.CECOELSetpointMotive&gt;0',0,5,8,32,1,0,1);</v>
      </c>
      <c r="Y33" t="str">
        <f>CONCATENATE("INSERT INTO cscadaeventrules VALUES (",$R33+7000,",'",Elements!$A48,"_CECORESetpointMotive','",Elements!$A48,".CECORESetpointMotive","&gt;0',",$D$3,",",$J$6,",",$N$10,",",$A33,",1,0",",1);")</f>
        <v>INSERT INTO cscadaeventrules VALUES (7032,'NODE_Sienra_CECORESetpointMotive','NODE_Sienra.CECORESetpointMotive&gt;0',0,5,9,32,1,0,1);</v>
      </c>
      <c r="Z33" t="str">
        <f>CONCATENATE("INSERT INTO cscadaeventrules VALUES (",$R33+8000,",'",Elements!$A48,"_CECOELSetpointMotive','",Elements!$A48,".CECOELSetpointMotive","==0',",$D$3,",",$J$6,",",$N$11,",",$A33,",0,0",",5);")</f>
        <v>INSERT INTO cscadaeventrules VALUES (8032,'NODE_Sienra_CECOELSetpointMotive','NODE_Sienra.CECOELSetpointMotive==0',0,5,10,32,0,0,5);</v>
      </c>
      <c r="AA33" t="s">
        <v>83</v>
      </c>
    </row>
    <row r="34" spans="1:31" x14ac:dyDescent="0.25">
      <c r="A34">
        <v>33</v>
      </c>
      <c r="B34" t="str">
        <f>Elements!C49</f>
        <v>NU Romica</v>
      </c>
      <c r="E34" t="s">
        <v>83</v>
      </c>
      <c r="I34" t="s">
        <v>83</v>
      </c>
      <c r="R34" s="18">
        <v>33</v>
      </c>
      <c r="S34" s="18"/>
      <c r="T34" s="9" t="str">
        <f t="shared" ref="T34:T38" si="4">CONCATENATE("INSERT INTO cscadaeventsources VALUES (",A34,",'",B34,"');")</f>
        <v>INSERT INTO cscadaeventsources VALUES (33,'NU Romica');</v>
      </c>
      <c r="U34" s="9" t="s">
        <v>83</v>
      </c>
      <c r="X34" t="str">
        <f>CONCATENATE("INSERT INTO cscadaeventrules VALUES (",$R34+6000,",'",Elements!$A49,"_CECOELSetpointMotive','",Elements!$A49,".CECOELSetpointMotive","&gt;0',",$D$3,",",$J$6,",",$N$9,",",$A34,",1,0",",1);")</f>
        <v>INSERT INTO cscadaeventrules VALUES (6033,'NODE_Romica_CECOELSetpointMotive','NODE_Romica.CECOELSetpointMotive&gt;0',0,5,8,33,1,0,1);</v>
      </c>
      <c r="Y34" t="str">
        <f>CONCATENATE("INSERT INTO cscadaeventrules VALUES (",$R34+7000,",'",Elements!$A49,"_CECORESetpointMotive','",Elements!$A49,".CECORESetpointMotive","&gt;0',",$D$3,",",$J$6,",",$N$10,",",$A34,",1,0",",1);")</f>
        <v>INSERT INTO cscadaeventrules VALUES (7033,'NODE_Romica_CECORESetpointMotive','NODE_Romica.CECORESetpointMotive&gt;0',0,5,9,33,1,0,1);</v>
      </c>
      <c r="Z34" t="str">
        <f>CONCATENATE("INSERT INTO cscadaeventrules VALUES (",$R34+8000,",'",Elements!$A49,"_CECOELSetpointMotive','",Elements!$A49,".CECOELSetpointMotive","==0',",$D$3,",",$J$6,",",$N$11,",",$A34,",0,0",",5);")</f>
        <v>INSERT INTO cscadaeventrules VALUES (8033,'NODE_Romica_CECOELSetpointMotive','NODE_Romica.CECOELSetpointMotive==0',0,5,10,33,0,0,5);</v>
      </c>
      <c r="AA34" t="s">
        <v>83</v>
      </c>
    </row>
    <row r="35" spans="1:31" x14ac:dyDescent="0.25">
      <c r="A35">
        <v>34</v>
      </c>
      <c r="B35" t="str">
        <f>Elements!C53</f>
        <v>PE LaLoma</v>
      </c>
      <c r="E35" t="s">
        <v>83</v>
      </c>
      <c r="I35" t="s">
        <v>83</v>
      </c>
      <c r="R35" s="18">
        <v>34</v>
      </c>
      <c r="S35" s="18"/>
      <c r="T35" s="9" t="str">
        <f t="shared" si="4"/>
        <v>INSERT INTO cscadaeventsources VALUES (34,'PE LaLoma');</v>
      </c>
      <c r="U35" s="9" t="s">
        <v>83</v>
      </c>
      <c r="X35" t="str">
        <f>CONCATENATE("INSERT INTO cscadaeventrules VALUES (",$R35+6000,",'",Elements!$A53,"_CECOELSetpointMotive','",Elements!$A53,".CECOELSetpointMotive","&gt;0',",$D$3,",",$J$6,",",$N$9,",",$A35,",1,0",",1);")</f>
        <v>INSERT INTO cscadaeventrules VALUES (6034,'PARK_LaLoma_CECOELSetpointMotive','PARK_LaLoma.CECOELSetpointMotive&gt;0',0,5,8,34,1,0,1);</v>
      </c>
      <c r="Y35" t="str">
        <f>CONCATENATE("INSERT INTO cscadaeventrules VALUES (",$R35+7000,",'",Elements!$A53,"_CECORESetpointMotive','",Elements!$A53,".CECORESetpointMotive","&gt;0',",$D$3,",",$J$6,",",$N$10,",",$A35,",1,0",",1);")</f>
        <v>INSERT INTO cscadaeventrules VALUES (7034,'PARK_LaLoma_CECORESetpointMotive','PARK_LaLoma.CECORESetpointMotive&gt;0',0,5,9,34,1,0,1);</v>
      </c>
      <c r="Z35" t="str">
        <f>CONCATENATE("INSERT INTO cscadaeventrules VALUES (",$R35+8000,",'",Elements!$A53,"_CECOELSetpointMotive','",Elements!$A53,".CECOELSetpointMotive","==0',",$D$3,",",$J$6,",",$N$11,",",$A35,",0,0",",5);")</f>
        <v>INSERT INTO cscadaeventrules VALUES (8034,'PARK_LaLoma_CECOELSetpointMotive','PARK_LaLoma.CECOELSetpointMotive==0',0,5,10,34,0,0,5);</v>
      </c>
      <c r="AA35" t="s">
        <v>83</v>
      </c>
      <c r="AB35" t="str">
        <f>CONCATENATE("INSERT INTO cscadaeventrules VALUES (",$R35+2000,",'",Elements!$A53,"_GridConnection','",Elements!$A53,".GridConnection","==0',",$D$3,",",$J$4,",",$N$4,",",$A35,",1,0,3);")</f>
        <v>INSERT INTO cscadaeventrules VALUES (2034,'PARK_LaLoma_GridConnection','PARK_LaLoma.GridConnection==0',0,3,3,34,1,0,3);</v>
      </c>
      <c r="AC35" t="str">
        <f>CONCATENATE("INSERT INTO cscadaeventrules VALUES (",$R35+3000,",'",Elements!$A53,"_GridConnection','",Elements!$A53,".GridConnection","==1',",$D$3,",",$J$3,",",$N$5,",",$A35,",1,0,2);")</f>
        <v>INSERT INTO cscadaeventrules VALUES (3034,'PARK_LaLoma_GridConnection','PARK_LaLoma.GridConnection==1',0,2,4,34,1,0,2);</v>
      </c>
      <c r="AD35" t="s">
        <v>83</v>
      </c>
      <c r="AE35" t="str">
        <f>CONCATENATE("INSERT INTO cscadaeventrules VALUES (",$R35+4000,",'",Elements!$A53,"_Active','",Elements!$A53,".Active","==false',",$D$3,",",$J$5,",",$N$6,",",$A35,",1,0,4);")</f>
        <v>INSERT INTO cscadaeventrules VALUES (4034,'PARK_LaLoma_Active','PARK_LaLoma.Active==false',0,4,5,34,1,0,4);</v>
      </c>
    </row>
    <row r="36" spans="1:31" x14ac:dyDescent="0.25">
      <c r="A36">
        <v>35</v>
      </c>
      <c r="B36" t="str">
        <f>Elements!C50</f>
        <v>CS Andasol3</v>
      </c>
      <c r="E36" t="s">
        <v>83</v>
      </c>
      <c r="I36" t="s">
        <v>83</v>
      </c>
      <c r="R36" s="18">
        <v>35</v>
      </c>
      <c r="S36" s="18"/>
      <c r="T36" s="9" t="str">
        <f t="shared" si="4"/>
        <v>INSERT INTO cscadaeventsources VALUES (35,'CS Andasol3');</v>
      </c>
      <c r="U36" s="9" t="s">
        <v>83</v>
      </c>
      <c r="X36" t="str">
        <f>CONCATENATE("INSERT INTO cscadaeventrules VALUES (",$R36+6000,",'",Elements!$A50,"_CECOELSetpointMotive','",Elements!$A50,".CECOELSetpointMotive","&gt;0',",$D$3,",",$J$6,",",$N$9,",",$A36,",1,0",",1);")</f>
        <v>INSERT INTO cscadaeventrules VALUES (6035,'SOLAR_Andasol3_CECOELSetpointMotive','SOLAR_Andasol3.CECOELSetpointMotive&gt;0',0,5,8,35,1,0,1);</v>
      </c>
      <c r="Y36" t="str">
        <f>CONCATENATE("INSERT INTO cscadaeventrules VALUES (",$R36+7000,",'",Elements!$A50,"_CECORESetpointMotive','",Elements!$A50,".CECORESetpointMotive","&gt;0',",$D$3,",",$J$6,",",$N$10,",",$A36,",1,0",",1);")</f>
        <v>INSERT INTO cscadaeventrules VALUES (7035,'SOLAR_Andasol3_CECORESetpointMotive','SOLAR_Andasol3.CECORESetpointMotive&gt;0',0,5,9,35,1,0,1);</v>
      </c>
      <c r="Z36" t="str">
        <f>CONCATENATE("INSERT INTO cscadaeventrules VALUES (",$R36+8000,",'",Elements!$A50,"_CECOELSetpointMotive','",Elements!$A50,".CECOELSetpointMotive","==0',",$D$3,",",$J$6,",",$N$11,",",$A36,",0,0",",5);")</f>
        <v>INSERT INTO cscadaeventrules VALUES (8035,'SOLAR_Andasol3_CECOELSetpointMotive','SOLAR_Andasol3.CECOELSetpointMotive==0',0,5,10,35,0,0,5);</v>
      </c>
      <c r="AA36" t="s">
        <v>83</v>
      </c>
      <c r="AB36" t="str">
        <f>CONCATENATE("INSERT INTO cscadaeventrules VALUES (",$R36+2000,",'",Elements!$A50,"_GridConnection','",Elements!$A50,".GridConnection","==0',",$D$3,",",$J$4,",",$N$4,",",$A36,",1,0,3);")</f>
        <v>INSERT INTO cscadaeventrules VALUES (2035,'SOLAR_Andasol3_GridConnection','SOLAR_Andasol3.GridConnection==0',0,3,3,35,1,0,3);</v>
      </c>
      <c r="AC36" t="str">
        <f>CONCATENATE("INSERT INTO cscadaeventrules VALUES (",$R36+3000,",'",Elements!$A50,"_GridConnection','",Elements!$A50,".GridConnection","==1',",$D$3,",",$J$3,",",$N$5,",",$A36,",1,0,2);")</f>
        <v>INSERT INTO cscadaeventrules VALUES (3035,'SOLAR_Andasol3_GridConnection','SOLAR_Andasol3.GridConnection==1',0,2,4,35,1,0,2);</v>
      </c>
      <c r="AD36" t="s">
        <v>83</v>
      </c>
      <c r="AE36" t="str">
        <f>CONCATENATE("INSERT INTO cscadaeventrules VALUES (",$R36+4000,",'",Elements!$A50,"_Active','",Elements!$A50,".Active","==false',",$D$3,",",$J$5,",",$N$6,",",$A36,",1,0,4);")</f>
        <v>INSERT INTO cscadaeventrules VALUES (4035,'SOLAR_Andasol3_Active','SOLAR_Andasol3.Active==false',0,4,5,35,1,0,4);</v>
      </c>
    </row>
    <row r="37" spans="1:31" x14ac:dyDescent="0.25">
      <c r="A37">
        <v>36</v>
      </c>
      <c r="B37" t="str">
        <f>Elements!C51</f>
        <v>NU Escucha</v>
      </c>
      <c r="E37" t="s">
        <v>83</v>
      </c>
      <c r="I37" t="s">
        <v>83</v>
      </c>
      <c r="R37" s="18">
        <v>36</v>
      </c>
      <c r="S37" s="18"/>
      <c r="T37" s="9" t="str">
        <f t="shared" si="4"/>
        <v>INSERT INTO cscadaeventsources VALUES (36,'NU Escucha');</v>
      </c>
      <c r="U37" s="9" t="s">
        <v>83</v>
      </c>
      <c r="AA37" t="s">
        <v>83</v>
      </c>
    </row>
    <row r="38" spans="1:31" x14ac:dyDescent="0.25">
      <c r="A38">
        <v>37</v>
      </c>
      <c r="B38" t="str">
        <f>Elements!C52</f>
        <v>NU S5</v>
      </c>
      <c r="E38" t="s">
        <v>83</v>
      </c>
      <c r="I38" t="s">
        <v>83</v>
      </c>
      <c r="R38" s="18">
        <v>37</v>
      </c>
      <c r="S38" s="18"/>
      <c r="T38" s="9" t="str">
        <f t="shared" si="4"/>
        <v>INSERT INTO cscadaeventsources VALUES (37,'NU S5');</v>
      </c>
      <c r="U38" s="9" t="s">
        <v>83</v>
      </c>
      <c r="AA38" t="s">
        <v>83</v>
      </c>
    </row>
    <row r="39" spans="1:31" x14ac:dyDescent="0.25">
      <c r="A39">
        <v>38</v>
      </c>
      <c r="B39" t="str">
        <f>Elements!C53</f>
        <v>PE LaLoma</v>
      </c>
      <c r="E39" t="s">
        <v>83</v>
      </c>
      <c r="I39" t="s">
        <v>83</v>
      </c>
      <c r="R39" s="18"/>
      <c r="S39" s="18"/>
      <c r="T39" s="9"/>
      <c r="U39" s="9" t="s">
        <v>83</v>
      </c>
      <c r="AA39" t="s">
        <v>83</v>
      </c>
    </row>
    <row r="40" spans="1:31" x14ac:dyDescent="0.25">
      <c r="A40">
        <v>39</v>
      </c>
      <c r="B40">
        <f>Elements!C54</f>
        <v>0</v>
      </c>
      <c r="E40" t="s">
        <v>83</v>
      </c>
      <c r="I40" t="s">
        <v>83</v>
      </c>
      <c r="R40" s="18"/>
      <c r="S40" s="18"/>
      <c r="T40" s="9"/>
      <c r="U40" s="9" t="s">
        <v>83</v>
      </c>
      <c r="AA40" t="s">
        <v>83</v>
      </c>
    </row>
    <row r="41" spans="1:31" x14ac:dyDescent="0.25">
      <c r="A41">
        <v>40</v>
      </c>
      <c r="B41">
        <f>Elements!C55</f>
        <v>0</v>
      </c>
      <c r="E41" t="s">
        <v>83</v>
      </c>
      <c r="I41" t="s">
        <v>83</v>
      </c>
      <c r="R41" s="18"/>
      <c r="S41" s="18"/>
      <c r="T41" s="9"/>
      <c r="AA41" t="s">
        <v>83</v>
      </c>
    </row>
    <row r="42" spans="1:31" x14ac:dyDescent="0.25">
      <c r="A42">
        <v>41</v>
      </c>
      <c r="B42">
        <f>Elements!C56</f>
        <v>0</v>
      </c>
      <c r="E42" t="s">
        <v>83</v>
      </c>
      <c r="I42" t="s">
        <v>83</v>
      </c>
      <c r="R42" s="18"/>
      <c r="S42" s="18"/>
      <c r="T42" s="9"/>
      <c r="AA42" t="s">
        <v>83</v>
      </c>
    </row>
    <row r="43" spans="1:31" x14ac:dyDescent="0.25">
      <c r="A43">
        <v>42</v>
      </c>
      <c r="B43">
        <f>Elements!C57</f>
        <v>0</v>
      </c>
      <c r="E43" t="s">
        <v>83</v>
      </c>
      <c r="I43" t="s">
        <v>83</v>
      </c>
      <c r="R43" s="18"/>
      <c r="S43" s="18"/>
      <c r="T43" s="9"/>
      <c r="AA43" t="s">
        <v>83</v>
      </c>
    </row>
    <row r="44" spans="1:31" x14ac:dyDescent="0.25">
      <c r="A44">
        <v>43</v>
      </c>
      <c r="B44">
        <f>Elements!C55</f>
        <v>0</v>
      </c>
      <c r="E44" t="s">
        <v>83</v>
      </c>
      <c r="I44" t="s">
        <v>83</v>
      </c>
      <c r="R44" s="18"/>
      <c r="S44" s="18"/>
      <c r="T44" s="9"/>
      <c r="AA44" t="s">
        <v>83</v>
      </c>
    </row>
    <row r="45" spans="1:31" x14ac:dyDescent="0.25">
      <c r="A45">
        <v>44</v>
      </c>
      <c r="B45">
        <f>Elements!C56</f>
        <v>0</v>
      </c>
      <c r="E45" t="s">
        <v>83</v>
      </c>
      <c r="I45" t="s">
        <v>83</v>
      </c>
      <c r="R45" s="18"/>
      <c r="S45" s="18"/>
      <c r="T45" s="9"/>
      <c r="AA45" t="s">
        <v>83</v>
      </c>
    </row>
    <row r="46" spans="1:31" x14ac:dyDescent="0.25">
      <c r="A46">
        <v>45</v>
      </c>
      <c r="B46">
        <f>Elements!C57</f>
        <v>0</v>
      </c>
      <c r="E46" t="s">
        <v>83</v>
      </c>
      <c r="I46" t="s">
        <v>83</v>
      </c>
      <c r="R46" s="18"/>
      <c r="S46" s="18"/>
      <c r="T46" s="9"/>
      <c r="AA46" t="s">
        <v>83</v>
      </c>
    </row>
    <row r="47" spans="1:31" x14ac:dyDescent="0.25">
      <c r="A47">
        <v>46</v>
      </c>
      <c r="B47">
        <f>Elements!C58</f>
        <v>0</v>
      </c>
      <c r="E47" t="s">
        <v>83</v>
      </c>
      <c r="I47" t="s">
        <v>83</v>
      </c>
      <c r="R47" s="18"/>
      <c r="S47" s="18"/>
      <c r="T47" s="9"/>
      <c r="AA47" t="s">
        <v>83</v>
      </c>
    </row>
    <row r="48" spans="1:31" x14ac:dyDescent="0.25">
      <c r="A48">
        <v>47</v>
      </c>
      <c r="B48">
        <f>Elements!C59</f>
        <v>0</v>
      </c>
      <c r="E48" t="s">
        <v>83</v>
      </c>
      <c r="I48" t="s">
        <v>83</v>
      </c>
      <c r="R48" s="18"/>
      <c r="S48" s="18"/>
      <c r="T48" s="9"/>
      <c r="AA48" t="s">
        <v>83</v>
      </c>
    </row>
    <row r="49" spans="1:27" x14ac:dyDescent="0.25">
      <c r="A49">
        <v>48</v>
      </c>
      <c r="E49" t="s">
        <v>83</v>
      </c>
      <c r="I49" t="s">
        <v>83</v>
      </c>
      <c r="R49" s="18"/>
      <c r="S49" s="18"/>
      <c r="T49" s="9"/>
      <c r="AA49" t="s">
        <v>83</v>
      </c>
    </row>
    <row r="50" spans="1:27" x14ac:dyDescent="0.25">
      <c r="E50" t="s">
        <v>83</v>
      </c>
      <c r="I50" t="s">
        <v>83</v>
      </c>
      <c r="R50" s="18"/>
      <c r="S50" s="18"/>
      <c r="T50" s="9"/>
      <c r="AA50" t="s">
        <v>83</v>
      </c>
    </row>
    <row r="51" spans="1:27" x14ac:dyDescent="0.25">
      <c r="E51" t="s">
        <v>83</v>
      </c>
      <c r="I51" t="s">
        <v>83</v>
      </c>
      <c r="R51" s="18"/>
      <c r="S51" s="18"/>
      <c r="T51" s="9"/>
      <c r="AA51" t="s">
        <v>83</v>
      </c>
    </row>
    <row r="52" spans="1:27" x14ac:dyDescent="0.25">
      <c r="E52" t="s">
        <v>83</v>
      </c>
      <c r="I52" t="s">
        <v>83</v>
      </c>
      <c r="R52" s="18"/>
      <c r="S52" s="18"/>
      <c r="T52" s="9"/>
      <c r="AA52" t="s">
        <v>83</v>
      </c>
    </row>
    <row r="53" spans="1:27" x14ac:dyDescent="0.25">
      <c r="E53" t="s">
        <v>83</v>
      </c>
      <c r="I53" t="s">
        <v>83</v>
      </c>
      <c r="R53" s="18"/>
      <c r="S53" s="18"/>
      <c r="T53" s="9"/>
      <c r="AA53" t="s">
        <v>83</v>
      </c>
    </row>
    <row r="54" spans="1:27" x14ac:dyDescent="0.25">
      <c r="E54" t="s">
        <v>83</v>
      </c>
      <c r="I54" t="s">
        <v>83</v>
      </c>
      <c r="R54" s="18"/>
      <c r="S54" s="18"/>
      <c r="T54" s="9"/>
      <c r="AA54" t="s">
        <v>83</v>
      </c>
    </row>
    <row r="55" spans="1:27" x14ac:dyDescent="0.25">
      <c r="E55" t="s">
        <v>83</v>
      </c>
      <c r="I55" t="s">
        <v>83</v>
      </c>
      <c r="R55" s="18"/>
      <c r="S55" s="18"/>
      <c r="T55" s="9"/>
      <c r="AA55" t="s">
        <v>83</v>
      </c>
    </row>
    <row r="56" spans="1:27" x14ac:dyDescent="0.25">
      <c r="R56" s="18"/>
      <c r="S56" s="18"/>
      <c r="T56" s="9"/>
      <c r="AA56" t="s">
        <v>83</v>
      </c>
    </row>
    <row r="57" spans="1:27" x14ac:dyDescent="0.25">
      <c r="R57" s="18"/>
      <c r="S57" s="18"/>
      <c r="T57" s="9"/>
      <c r="AA57" t="s">
        <v>83</v>
      </c>
    </row>
    <row r="58" spans="1:27" x14ac:dyDescent="0.25">
      <c r="R58" s="18"/>
      <c r="S58" s="18"/>
      <c r="T58" s="9"/>
      <c r="AA58" t="s">
        <v>83</v>
      </c>
    </row>
    <row r="59" spans="1:27" x14ac:dyDescent="0.25">
      <c r="R59" s="18"/>
      <c r="S59" s="18"/>
      <c r="T59" s="9"/>
      <c r="AA59" t="s">
        <v>83</v>
      </c>
    </row>
    <row r="60" spans="1:27" x14ac:dyDescent="0.25">
      <c r="AA60" t="s">
        <v>83</v>
      </c>
    </row>
    <row r="61" spans="1:27" x14ac:dyDescent="0.25">
      <c r="AA61" t="s">
        <v>83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G20" sqref="G20"/>
    </sheetView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Export</vt:lpstr>
      <vt:lpstr>Models</vt:lpstr>
      <vt:lpstr>Elements</vt:lpstr>
      <vt:lpstr>Events</vt:lpstr>
      <vt:lpstr>ExpressionCalculator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Cabrera Muñoz</dc:creator>
  <cp:lastModifiedBy>Juan Fernández Riejos</cp:lastModifiedBy>
  <cp:lastPrinted>2014-09-25T09:43:04Z</cp:lastPrinted>
  <dcterms:created xsi:type="dcterms:W3CDTF">2014-07-09T00:34:35Z</dcterms:created>
  <dcterms:modified xsi:type="dcterms:W3CDTF">2017-03-01T18:24:53Z</dcterms:modified>
</cp:coreProperties>
</file>